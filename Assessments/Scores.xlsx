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13_ncr:1_{B2878DD1-BDC4-4EB6-AFBB-C3EF1071562C}" xr6:coauthVersionLast="46" xr6:coauthVersionMax="46" xr10:uidLastSave="{00000000-0000-0000-0000-000000000000}"/>
  <bookViews>
    <workbookView xWindow="-108" yWindow="-108" windowWidth="23256" windowHeight="12720" xr2:uid="{2F9F5002-5604-4D98-B7B9-A4CE7BA2379C}"/>
  </bookViews>
  <sheets>
    <sheet name="Summary" sheetId="3" r:id="rId1"/>
    <sheet name="SQL" sheetId="1" r:id="rId2"/>
    <sheet name="PLSQL" sheetId="2" r:id="rId3"/>
    <sheet name="Java" sheetId="4" r:id="rId4"/>
    <sheet name="Spring" sheetId="5" r:id="rId5"/>
    <sheet name="HTML_CSS_Js" sheetId="6" r:id="rId6"/>
    <sheet name="ReactJs" sheetId="7" r:id="rId7"/>
    <sheet name="FinalTest" sheetId="8" r:id="rId8"/>
  </sheets>
  <definedNames>
    <definedName name="_xlnm._FilterDatabase" localSheetId="2" hidden="1">PLSQL!$B$2:$G$41</definedName>
    <definedName name="_xlnm._FilterDatabase" localSheetId="1" hidden="1">SQL!$B$3:$G$42</definedName>
    <definedName name="_xlnm._FilterDatabase" localSheetId="0" hidden="1">Summary!$B$2:$I$43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2" i="8" l="1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2" i="8"/>
  <c r="N43" i="7"/>
  <c r="O47" i="7"/>
  <c r="O46" i="7"/>
  <c r="O45" i="7"/>
  <c r="O44" i="7"/>
  <c r="N47" i="7"/>
  <c r="N46" i="7"/>
  <c r="N45" i="7"/>
  <c r="N44" i="7"/>
  <c r="O43" i="7"/>
  <c r="M47" i="7"/>
  <c r="M46" i="7"/>
  <c r="M45" i="7"/>
  <c r="M44" i="7"/>
  <c r="M43" i="7"/>
  <c r="N42" i="7"/>
  <c r="M42" i="7"/>
  <c r="O42" i="7" s="1"/>
  <c r="N41" i="7"/>
  <c r="O41" i="7" s="1"/>
  <c r="M41" i="7"/>
  <c r="N40" i="7"/>
  <c r="M40" i="7"/>
  <c r="N39" i="7"/>
  <c r="O39" i="7" s="1"/>
  <c r="M39" i="7"/>
  <c r="O38" i="7"/>
  <c r="N38" i="7"/>
  <c r="M38" i="7"/>
  <c r="N37" i="7"/>
  <c r="M37" i="7"/>
  <c r="O37" i="7" s="1"/>
  <c r="N36" i="7"/>
  <c r="M36" i="7"/>
  <c r="N35" i="7"/>
  <c r="O35" i="7" s="1"/>
  <c r="M35" i="7"/>
  <c r="N34" i="7"/>
  <c r="M34" i="7"/>
  <c r="O34" i="7" s="1"/>
  <c r="N33" i="7"/>
  <c r="M33" i="7"/>
  <c r="O33" i="7" s="1"/>
  <c r="N32" i="7"/>
  <c r="M32" i="7"/>
  <c r="O32" i="7" s="1"/>
  <c r="N31" i="7"/>
  <c r="M31" i="7"/>
  <c r="O30" i="7"/>
  <c r="N30" i="7"/>
  <c r="M30" i="7"/>
  <c r="N29" i="7"/>
  <c r="M29" i="7"/>
  <c r="O29" i="7" s="1"/>
  <c r="N28" i="7"/>
  <c r="M28" i="7"/>
  <c r="O28" i="7" s="1"/>
  <c r="N27" i="7"/>
  <c r="M27" i="7"/>
  <c r="N26" i="7"/>
  <c r="M26" i="7"/>
  <c r="O26" i="7" s="1"/>
  <c r="N25" i="7"/>
  <c r="M25" i="7"/>
  <c r="O25" i="7" s="1"/>
  <c r="N24" i="7"/>
  <c r="M24" i="7"/>
  <c r="O24" i="7" s="1"/>
  <c r="N23" i="7"/>
  <c r="M23" i="7"/>
  <c r="N22" i="7"/>
  <c r="M22" i="7"/>
  <c r="O22" i="7" s="1"/>
  <c r="N21" i="7"/>
  <c r="O21" i="7" s="1"/>
  <c r="M21" i="7"/>
  <c r="N20" i="7"/>
  <c r="M20" i="7"/>
  <c r="O20" i="7" s="1"/>
  <c r="N19" i="7"/>
  <c r="M19" i="7"/>
  <c r="N18" i="7"/>
  <c r="M18" i="7"/>
  <c r="O18" i="7" s="1"/>
  <c r="N16" i="7"/>
  <c r="M16" i="7"/>
  <c r="O16" i="7" s="1"/>
  <c r="N15" i="7"/>
  <c r="M15" i="7"/>
  <c r="N14" i="7"/>
  <c r="M14" i="7"/>
  <c r="N13" i="7"/>
  <c r="O13" i="7" s="1"/>
  <c r="M13" i="7"/>
  <c r="N12" i="7"/>
  <c r="M12" i="7"/>
  <c r="O12" i="7" s="1"/>
  <c r="N11" i="7"/>
  <c r="M11" i="7"/>
  <c r="O11" i="7" s="1"/>
  <c r="N10" i="7"/>
  <c r="O10" i="7" s="1"/>
  <c r="M10" i="7"/>
  <c r="N9" i="7"/>
  <c r="M9" i="7"/>
  <c r="O9" i="7" s="1"/>
  <c r="O8" i="7"/>
  <c r="N8" i="7"/>
  <c r="M8" i="7"/>
  <c r="N7" i="7"/>
  <c r="M7" i="7"/>
  <c r="O7" i="7" s="1"/>
  <c r="N6" i="7"/>
  <c r="M6" i="7"/>
  <c r="O5" i="7"/>
  <c r="N5" i="7"/>
  <c r="M5" i="7"/>
  <c r="N4" i="7"/>
  <c r="M4" i="7"/>
  <c r="O4" i="7" s="1"/>
  <c r="N3" i="7"/>
  <c r="M3" i="7"/>
  <c r="O3" i="7" s="1"/>
  <c r="N2" i="7"/>
  <c r="M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2" i="6"/>
  <c r="Q42" i="5"/>
  <c r="P42" i="5"/>
  <c r="Q41" i="5"/>
  <c r="P41" i="5"/>
  <c r="Q40" i="5"/>
  <c r="P40" i="5"/>
  <c r="Q39" i="5"/>
  <c r="P39" i="5"/>
  <c r="Q38" i="5"/>
  <c r="P38" i="5"/>
  <c r="Q37" i="5"/>
  <c r="P37" i="5"/>
  <c r="Q36" i="5"/>
  <c r="P36" i="5"/>
  <c r="Q35" i="5"/>
  <c r="P35" i="5"/>
  <c r="Q34" i="5"/>
  <c r="P34" i="5"/>
  <c r="Q33" i="5"/>
  <c r="P33" i="5"/>
  <c r="Q32" i="5"/>
  <c r="P32" i="5"/>
  <c r="Q31" i="5"/>
  <c r="P31" i="5"/>
  <c r="Q30" i="5"/>
  <c r="P30" i="5"/>
  <c r="R30" i="5" s="1"/>
  <c r="S30" i="5" s="1"/>
  <c r="Q29" i="5"/>
  <c r="P29" i="5"/>
  <c r="Q28" i="5"/>
  <c r="P28" i="5"/>
  <c r="Q27" i="5"/>
  <c r="P27" i="5"/>
  <c r="Q26" i="5"/>
  <c r="P26" i="5"/>
  <c r="Q25" i="5"/>
  <c r="P25" i="5"/>
  <c r="Q24" i="5"/>
  <c r="P24" i="5"/>
  <c r="R24" i="5" s="1"/>
  <c r="S24" i="5" s="1"/>
  <c r="Q23" i="5"/>
  <c r="P23" i="5"/>
  <c r="Q22" i="5"/>
  <c r="P22" i="5"/>
  <c r="Q21" i="5"/>
  <c r="P21" i="5"/>
  <c r="Q20" i="5"/>
  <c r="P20" i="5"/>
  <c r="Q19" i="5"/>
  <c r="P19" i="5"/>
  <c r="Q18" i="5"/>
  <c r="P18" i="5"/>
  <c r="R18" i="5" s="1"/>
  <c r="S18" i="5" s="1"/>
  <c r="Q17" i="5"/>
  <c r="P17" i="5"/>
  <c r="R17" i="5" s="1"/>
  <c r="S17" i="5" s="1"/>
  <c r="Q16" i="5"/>
  <c r="P16" i="5"/>
  <c r="Q15" i="5"/>
  <c r="P15" i="5"/>
  <c r="Q14" i="5"/>
  <c r="R14" i="5" s="1"/>
  <c r="S14" i="5" s="1"/>
  <c r="P14" i="5"/>
  <c r="Q13" i="5"/>
  <c r="P13" i="5"/>
  <c r="Q12" i="5"/>
  <c r="P12" i="5"/>
  <c r="Q11" i="5"/>
  <c r="P11" i="5"/>
  <c r="Q10" i="5"/>
  <c r="P10" i="5"/>
  <c r="Q9" i="5"/>
  <c r="P9" i="5"/>
  <c r="Q8" i="5"/>
  <c r="P8" i="5"/>
  <c r="Q7" i="5"/>
  <c r="P7" i="5"/>
  <c r="Q6" i="5"/>
  <c r="P6" i="5"/>
  <c r="Q5" i="5"/>
  <c r="P5" i="5"/>
  <c r="R5" i="5" s="1"/>
  <c r="S5" i="5" s="1"/>
  <c r="Q4" i="5"/>
  <c r="P4" i="5"/>
  <c r="Q3" i="5"/>
  <c r="P3" i="5"/>
  <c r="Q2" i="5"/>
  <c r="P2" i="5"/>
  <c r="G12" i="4"/>
  <c r="G36" i="4"/>
  <c r="G13" i="4"/>
  <c r="G32" i="4"/>
  <c r="G29" i="4"/>
  <c r="G4" i="4"/>
  <c r="F38" i="4"/>
  <c r="G38" i="4" s="1"/>
  <c r="F31" i="4"/>
  <c r="G31" i="4" s="1"/>
  <c r="F21" i="4"/>
  <c r="G21" i="4" s="1"/>
  <c r="F35" i="4"/>
  <c r="G35" i="4" s="1"/>
  <c r="F22" i="4"/>
  <c r="G22" i="4" s="1"/>
  <c r="F4" i="4"/>
  <c r="F26" i="4"/>
  <c r="G26" i="4" s="1"/>
  <c r="F24" i="4"/>
  <c r="G24" i="4" s="1"/>
  <c r="F29" i="4"/>
  <c r="F6" i="4"/>
  <c r="G6" i="4" s="1"/>
  <c r="F16" i="4"/>
  <c r="G16" i="4" s="1"/>
  <c r="F41" i="4"/>
  <c r="G41" i="4" s="1"/>
  <c r="F15" i="4"/>
  <c r="G15" i="4" s="1"/>
  <c r="F18" i="4"/>
  <c r="G18" i="4" s="1"/>
  <c r="F7" i="4"/>
  <c r="G7" i="4" s="1"/>
  <c r="F28" i="4"/>
  <c r="G28" i="4" s="1"/>
  <c r="F17" i="4"/>
  <c r="G17" i="4" s="1"/>
  <c r="F32" i="4"/>
  <c r="F8" i="4"/>
  <c r="G8" i="4" s="1"/>
  <c r="F3" i="4"/>
  <c r="G3" i="4" s="1"/>
  <c r="F13" i="4"/>
  <c r="F34" i="4"/>
  <c r="G34" i="4" s="1"/>
  <c r="F37" i="4"/>
  <c r="G37" i="4" s="1"/>
  <c r="F42" i="4"/>
  <c r="G42" i="4" s="1"/>
  <c r="F11" i="4"/>
  <c r="G11" i="4" s="1"/>
  <c r="F40" i="4"/>
  <c r="G40" i="4" s="1"/>
  <c r="F14" i="4"/>
  <c r="G14" i="4" s="1"/>
  <c r="F43" i="4"/>
  <c r="G43" i="4" s="1"/>
  <c r="F10" i="4"/>
  <c r="G10" i="4" s="1"/>
  <c r="F36" i="4"/>
  <c r="F33" i="4"/>
  <c r="G33" i="4" s="1"/>
  <c r="F19" i="4"/>
  <c r="G19" i="4" s="1"/>
  <c r="F12" i="4"/>
  <c r="F30" i="4"/>
  <c r="G30" i="4" s="1"/>
  <c r="F27" i="4"/>
  <c r="G27" i="4" s="1"/>
  <c r="F39" i="4"/>
  <c r="G39" i="4" s="1"/>
  <c r="F20" i="4"/>
  <c r="G20" i="4" s="1"/>
  <c r="F23" i="4"/>
  <c r="G23" i="4" s="1"/>
  <c r="F25" i="4"/>
  <c r="G25" i="4" s="1"/>
  <c r="F9" i="4"/>
  <c r="G9" i="4" s="1"/>
  <c r="F5" i="4"/>
  <c r="G5" i="4" s="1"/>
  <c r="F43" i="2"/>
  <c r="G43" i="2" s="1"/>
  <c r="F42" i="2"/>
  <c r="G42" i="2"/>
  <c r="F44" i="1"/>
  <c r="G44" i="1" s="1"/>
  <c r="F43" i="1"/>
  <c r="G43" i="1"/>
  <c r="F4" i="2"/>
  <c r="G4" i="2" s="1"/>
  <c r="F5" i="2"/>
  <c r="G5" i="2" s="1"/>
  <c r="F6" i="2"/>
  <c r="G6" i="2" s="1"/>
  <c r="F7" i="2"/>
  <c r="G7" i="2" s="1"/>
  <c r="F8" i="2"/>
  <c r="G8" i="2" s="1"/>
  <c r="F9" i="2"/>
  <c r="G9" i="2" s="1"/>
  <c r="F10" i="2"/>
  <c r="G10" i="2" s="1"/>
  <c r="F11" i="2"/>
  <c r="G11" i="2" s="1"/>
  <c r="F12" i="2"/>
  <c r="G12" i="2" s="1"/>
  <c r="F13" i="2"/>
  <c r="G13" i="2" s="1"/>
  <c r="F14" i="2"/>
  <c r="G14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21" i="2"/>
  <c r="G21" i="2" s="1"/>
  <c r="F22" i="2"/>
  <c r="G22" i="2" s="1"/>
  <c r="F23" i="2"/>
  <c r="G23" i="2" s="1"/>
  <c r="F24" i="2"/>
  <c r="G24" i="2" s="1"/>
  <c r="F25" i="2"/>
  <c r="G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37" i="2"/>
  <c r="G37" i="2" s="1"/>
  <c r="F38" i="2"/>
  <c r="G38" i="2" s="1"/>
  <c r="F39" i="2"/>
  <c r="G39" i="2" s="1"/>
  <c r="F40" i="2"/>
  <c r="G40" i="2" s="1"/>
  <c r="F41" i="2"/>
  <c r="G41" i="2" s="1"/>
  <c r="F3" i="2"/>
  <c r="G3" i="2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" i="1"/>
  <c r="G4" i="1" s="1"/>
  <c r="O15" i="7" l="1"/>
  <c r="O40" i="7"/>
  <c r="O36" i="7"/>
  <c r="O31" i="7"/>
  <c r="O2" i="7"/>
  <c r="O27" i="7"/>
  <c r="O23" i="7"/>
  <c r="O6" i="7"/>
  <c r="O19" i="7"/>
  <c r="O14" i="7"/>
  <c r="R20" i="5"/>
  <c r="S20" i="5" s="1"/>
  <c r="R26" i="5"/>
  <c r="S26" i="5" s="1"/>
  <c r="R32" i="5"/>
  <c r="S32" i="5" s="1"/>
  <c r="R22" i="5"/>
  <c r="S22" i="5" s="1"/>
  <c r="R34" i="5"/>
  <c r="S34" i="5" s="1"/>
  <c r="R40" i="5"/>
  <c r="S40" i="5" s="1"/>
  <c r="R41" i="5"/>
  <c r="S41" i="5" s="1"/>
  <c r="R21" i="5"/>
  <c r="S21" i="5" s="1"/>
  <c r="R33" i="5"/>
  <c r="S33" i="5" s="1"/>
  <c r="R6" i="5"/>
  <c r="S6" i="5" s="1"/>
  <c r="R42" i="5"/>
  <c r="S42" i="5" s="1"/>
  <c r="R2" i="5"/>
  <c r="S2" i="5" s="1"/>
  <c r="R8" i="5"/>
  <c r="S8" i="5" s="1"/>
  <c r="R7" i="5"/>
  <c r="S7" i="5" s="1"/>
  <c r="R31" i="5"/>
  <c r="S31" i="5" s="1"/>
  <c r="R38" i="5"/>
  <c r="S38" i="5" s="1"/>
  <c r="R10" i="5"/>
  <c r="S10" i="5" s="1"/>
  <c r="R4" i="5"/>
  <c r="S4" i="5" s="1"/>
  <c r="R11" i="5"/>
  <c r="S11" i="5" s="1"/>
  <c r="R23" i="5"/>
  <c r="S23" i="5" s="1"/>
  <c r="R29" i="5"/>
  <c r="S29" i="5" s="1"/>
  <c r="R35" i="5"/>
  <c r="S35" i="5" s="1"/>
  <c r="R12" i="5"/>
  <c r="S12" i="5" s="1"/>
  <c r="R28" i="5"/>
  <c r="S28" i="5" s="1"/>
  <c r="R3" i="5"/>
  <c r="S3" i="5" s="1"/>
  <c r="R13" i="5"/>
  <c r="S13" i="5" s="1"/>
  <c r="R39" i="5"/>
  <c r="S39" i="5" s="1"/>
  <c r="R9" i="5"/>
  <c r="S9" i="5" s="1"/>
  <c r="R19" i="5"/>
  <c r="S19" i="5" s="1"/>
  <c r="R15" i="5"/>
  <c r="S15" i="5" s="1"/>
  <c r="R25" i="5"/>
  <c r="S25" i="5" s="1"/>
  <c r="R36" i="5"/>
  <c r="S36" i="5" s="1"/>
  <c r="R16" i="5"/>
  <c r="S16" i="5" s="1"/>
  <c r="R27" i="5"/>
  <c r="S27" i="5" s="1"/>
  <c r="R37" i="5"/>
  <c r="S37" i="5" s="1"/>
</calcChain>
</file>

<file path=xl/sharedStrings.xml><?xml version="1.0" encoding="utf-8"?>
<sst xmlns="http://schemas.openxmlformats.org/spreadsheetml/2006/main" count="827" uniqueCount="140">
  <si>
    <t>Employee Id:</t>
  </si>
  <si>
    <t>570419</t>
  </si>
  <si>
    <t>570420</t>
  </si>
  <si>
    <t>570538</t>
  </si>
  <si>
    <t>570425</t>
  </si>
  <si>
    <t>570444</t>
  </si>
  <si>
    <t>570375</t>
  </si>
  <si>
    <t>570373</t>
  </si>
  <si>
    <t>570424</t>
  </si>
  <si>
    <t>570418</t>
  </si>
  <si>
    <t>570381</t>
  </si>
  <si>
    <t>570615</t>
  </si>
  <si>
    <t>570367</t>
  </si>
  <si>
    <t>570534</t>
  </si>
  <si>
    <t>570423</t>
  </si>
  <si>
    <t>570468</t>
  </si>
  <si>
    <t>570371</t>
  </si>
  <si>
    <t>570537</t>
  </si>
  <si>
    <t>570536</t>
  </si>
  <si>
    <t>570372</t>
  </si>
  <si>
    <t>570539</t>
  </si>
  <si>
    <t>570377</t>
  </si>
  <si>
    <t>570532</t>
  </si>
  <si>
    <t>570469</t>
  </si>
  <si>
    <t>570380</t>
  </si>
  <si>
    <t>570376</t>
  </si>
  <si>
    <t>570382</t>
  </si>
  <si>
    <t>570362</t>
  </si>
  <si>
    <t>570390</t>
  </si>
  <si>
    <t>570768</t>
  </si>
  <si>
    <t>570535</t>
  </si>
  <si>
    <t>570363</t>
  </si>
  <si>
    <t>00570426</t>
  </si>
  <si>
    <t>570365</t>
  </si>
  <si>
    <t>570442</t>
  </si>
  <si>
    <t>570434</t>
  </si>
  <si>
    <t>570421</t>
  </si>
  <si>
    <t>570392</t>
  </si>
  <si>
    <t>570391</t>
  </si>
  <si>
    <t>00570378</t>
  </si>
  <si>
    <t>Name:</t>
  </si>
  <si>
    <t>Aditya Jha</t>
  </si>
  <si>
    <t>Vaishnavi S</t>
  </si>
  <si>
    <t>Gunjan Mahajan</t>
  </si>
  <si>
    <t>Anshuman Abhishek</t>
  </si>
  <si>
    <t>Arjun Sharma</t>
  </si>
  <si>
    <t>Sameeksha Panwar</t>
  </si>
  <si>
    <t>Moomin</t>
  </si>
  <si>
    <t>Bhuwan Chandak</t>
  </si>
  <si>
    <t>Shri Abhishek Choudhary</t>
  </si>
  <si>
    <t>Mohit Kumar</t>
  </si>
  <si>
    <t>Ashritha R</t>
  </si>
  <si>
    <t>Keerthan K M</t>
  </si>
  <si>
    <t>Lalitha M</t>
  </si>
  <si>
    <t>Anish R</t>
  </si>
  <si>
    <t>YASHWANTH M</t>
  </si>
  <si>
    <t>Adithya  M Murthy</t>
  </si>
  <si>
    <t>Shivlinga Halimani</t>
  </si>
  <si>
    <t>samarth kulkarni</t>
  </si>
  <si>
    <t>Mithun S R</t>
  </si>
  <si>
    <t>Bhavya Choubey</t>
  </si>
  <si>
    <t>Atharv</t>
  </si>
  <si>
    <t>Hrithik Kumar Ukey</t>
  </si>
  <si>
    <t>Syed Saud Ur Rahman</t>
  </si>
  <si>
    <t>Rupesh Prasad</t>
  </si>
  <si>
    <t>Pothala Harinatha Reddy</t>
  </si>
  <si>
    <t>Kethan Gowda N</t>
  </si>
  <si>
    <t xml:space="preserve">Srinivas M </t>
  </si>
  <si>
    <t>Vaishnavi Adhav</t>
  </si>
  <si>
    <t>Omkar rampure</t>
  </si>
  <si>
    <t>Kunal Kaushik</t>
  </si>
  <si>
    <t>REKHA S</t>
  </si>
  <si>
    <t>MONISHA J</t>
  </si>
  <si>
    <t>Aditya Harivalada</t>
  </si>
  <si>
    <t>Hari prasad P</t>
  </si>
  <si>
    <t>Sneha K S</t>
  </si>
  <si>
    <t>Sanjana S</t>
  </si>
  <si>
    <t>Chinmayi K P</t>
  </si>
  <si>
    <t>Shilpa K V</t>
  </si>
  <si>
    <t>Divya Bhumipalli</t>
  </si>
  <si>
    <t>Total</t>
  </si>
  <si>
    <t>SQL - MCQs (out of 30)</t>
  </si>
  <si>
    <t>SQL - Coding (out of 20)</t>
  </si>
  <si>
    <t>% (out of 100)</t>
  </si>
  <si>
    <t>SQL</t>
  </si>
  <si>
    <t>PL/SQL</t>
  </si>
  <si>
    <t>570816</t>
  </si>
  <si>
    <t>570838</t>
  </si>
  <si>
    <t>Apeksha Prabhakar Shetty</t>
  </si>
  <si>
    <t>Harshitha B H</t>
  </si>
  <si>
    <t>Srinivas M</t>
  </si>
  <si>
    <t>Adithya M Murthy</t>
  </si>
  <si>
    <t>Aditya Harivalad</t>
  </si>
  <si>
    <t>omkar Rampure</t>
  </si>
  <si>
    <t>Rekha S</t>
  </si>
  <si>
    <t>Monisha J</t>
  </si>
  <si>
    <t>MCQ (out of 30)</t>
  </si>
  <si>
    <t>Coding (out of 20)</t>
  </si>
  <si>
    <t>Total for 50</t>
  </si>
  <si>
    <t>Total (100)</t>
  </si>
  <si>
    <t>Emp ID</t>
  </si>
  <si>
    <t>Name</t>
  </si>
  <si>
    <t>Java</t>
  </si>
  <si>
    <t>Spring</t>
  </si>
  <si>
    <t>Learner Name</t>
  </si>
  <si>
    <t>Learner Email</t>
  </si>
  <si>
    <t>Submitted At</t>
  </si>
  <si>
    <t>MCQ Score</t>
  </si>
  <si>
    <t>Max MCQ Score</t>
  </si>
  <si>
    <t>Coding Score</t>
  </si>
  <si>
    <t>Max Coding Score</t>
  </si>
  <si>
    <t>Status</t>
  </si>
  <si>
    <t>MCQ for 30</t>
  </si>
  <si>
    <t>Coding for 20</t>
  </si>
  <si>
    <t>for 50</t>
  </si>
  <si>
    <t>for 100</t>
  </si>
  <si>
    <t>finalized</t>
  </si>
  <si>
    <t>average</t>
  </si>
  <si>
    <t xml:space="preserve">Atharv </t>
  </si>
  <si>
    <t>Hari prasad</t>
  </si>
  <si>
    <t>completed</t>
  </si>
  <si>
    <t>Yashwanth M</t>
  </si>
  <si>
    <t>GUNJAN  MAHAJAN</t>
  </si>
  <si>
    <t>Ashritha</t>
  </si>
  <si>
    <t>omkar</t>
  </si>
  <si>
    <t>a</t>
  </si>
  <si>
    <t>570378</t>
  </si>
  <si>
    <t>570426</t>
  </si>
  <si>
    <t>Employee Id</t>
  </si>
  <si>
    <t>%age</t>
  </si>
  <si>
    <t>HTML, CSS, JS</t>
  </si>
  <si>
    <t>Mcq (30)</t>
  </si>
  <si>
    <t>Coding (20)</t>
  </si>
  <si>
    <t>total</t>
  </si>
  <si>
    <t>00570427</t>
  </si>
  <si>
    <t>ReactJs</t>
  </si>
  <si>
    <t>Final Test</t>
  </si>
  <si>
    <t>marks</t>
  </si>
  <si>
    <t>Rupesh</t>
  </si>
  <si>
    <t>Hari Prasad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</si>
</sst>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Border="1"/>
    <xf numFmtId="0" fontId="0" fillId="0" borderId="1" xfId="0" quotePrefix="1" applyBorder="1"/>
    <xf numFmtId="0" fontId="0" fillId="0" borderId="1" xfId="0" applyBorder="1"/>
    <xf numFmtId="9" fontId="0" fillId="0" borderId="1" xfId="1" applyFont="1" applyBorder="1"/>
    <xf numFmtId="0" fontId="2" fillId="0" borderId="1" xfId="0" applyFont="1" applyBorder="1" applyAlignment="1">
      <alignment wrapText="1"/>
    </xf>
    <xf numFmtId="9" fontId="0" fillId="0" borderId="1" xfId="1" applyFont="1" applyFill="1" applyBorder="1"/>
    <xf numFmtId="0" fontId="0" fillId="0" borderId="2" xfId="0" quotePrefix="1" applyBorder="1"/>
    <xf numFmtId="0" fontId="0" fillId="0" borderId="2" xfId="0" applyBorder="1"/>
    <xf numFmtId="9" fontId="0" fillId="0" borderId="2" xfId="1" applyFont="1" applyBorder="1"/>
    <xf numFmtId="0" fontId="3" fillId="0" borderId="1" xfId="0" applyFont="1" applyBorder="1"/>
    <xf numFmtId="0" fontId="3" fillId="0" borderId="0" xfId="0" applyFont="1"/>
    <xf numFmtId="22" fontId="0" fillId="0" borderId="0" xfId="0" applyNumberFormat="1"/>
    <xf numFmtId="1" fontId="0" fillId="0" borderId="0" xfId="0" applyNumberFormat="1"/>
    <xf numFmtId="0" fontId="0" fillId="0" borderId="0" xfId="0" quotePrefix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BB81-7004-434A-99AB-007D8B0836DA}">
  <dimension ref="B2:J43"/>
  <sheetViews>
    <sheetView tabSelected="1" workbookViewId="0">
      <selection activeCell="J2" sqref="J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9" width="6.88671875" customWidth="1"/>
    <col min="10" max="10" width="5.44140625" bestFit="1" customWidth="1"/>
  </cols>
  <sheetData>
    <row r="2" spans="2:10" ht="28.8" x14ac:dyDescent="0.3">
      <c r="B2" s="1" t="s">
        <v>0</v>
      </c>
      <c r="C2" s="1" t="s">
        <v>40</v>
      </c>
      <c r="D2" s="5" t="s">
        <v>84</v>
      </c>
      <c r="E2" s="5" t="s">
        <v>85</v>
      </c>
      <c r="F2" s="5" t="s">
        <v>102</v>
      </c>
      <c r="G2" s="5" t="s">
        <v>103</v>
      </c>
      <c r="H2" s="5" t="s">
        <v>130</v>
      </c>
      <c r="I2" s="5" t="s">
        <v>135</v>
      </c>
      <c r="J2" s="5" t="s">
        <v>136</v>
      </c>
    </row>
    <row r="3" spans="2:10" x14ac:dyDescent="0.3">
      <c r="B3" s="2" t="s">
        <v>39</v>
      </c>
      <c r="C3" s="3" t="s">
        <v>79</v>
      </c>
      <c r="D3" s="4">
        <v>0.88</v>
      </c>
      <c r="E3" s="4">
        <v>0.86</v>
      </c>
      <c r="F3" s="4">
        <v>0.94</v>
      </c>
      <c r="G3" s="4">
        <v>0.91599999999999993</v>
      </c>
      <c r="H3" s="4">
        <v>0.96666666666666667</v>
      </c>
      <c r="I3" s="4">
        <v>0.80666666666666653</v>
      </c>
      <c r="J3" s="4">
        <v>1</v>
      </c>
    </row>
    <row r="4" spans="2:10" x14ac:dyDescent="0.3">
      <c r="B4" s="2" t="s">
        <v>32</v>
      </c>
      <c r="C4" s="3" t="s">
        <v>72</v>
      </c>
      <c r="D4" s="4">
        <v>0.7</v>
      </c>
      <c r="E4" s="4">
        <v>0.86</v>
      </c>
      <c r="F4" s="4">
        <v>0.88</v>
      </c>
      <c r="G4" s="4">
        <v>0.83599999999999997</v>
      </c>
      <c r="H4" s="4">
        <v>0.8666666666666667</v>
      </c>
      <c r="I4" s="4">
        <v>0.84</v>
      </c>
      <c r="J4" s="4">
        <v>0.96</v>
      </c>
    </row>
    <row r="5" spans="2:10" x14ac:dyDescent="0.3">
      <c r="B5" s="2" t="s">
        <v>27</v>
      </c>
      <c r="C5" s="3" t="s">
        <v>67</v>
      </c>
      <c r="D5" s="4">
        <v>0.88</v>
      </c>
      <c r="E5" s="4">
        <v>0.86</v>
      </c>
      <c r="F5" s="4">
        <v>0.96</v>
      </c>
      <c r="G5" s="4">
        <v>0.90799999999999992</v>
      </c>
      <c r="H5" s="4">
        <v>0.93333333333333335</v>
      </c>
      <c r="I5" s="4">
        <v>0.87333333333333329</v>
      </c>
      <c r="J5" s="4">
        <v>0.96</v>
      </c>
    </row>
    <row r="6" spans="2:10" x14ac:dyDescent="0.3">
      <c r="B6" s="2" t="s">
        <v>31</v>
      </c>
      <c r="C6" s="3" t="s">
        <v>71</v>
      </c>
      <c r="D6" s="4">
        <v>0.86</v>
      </c>
      <c r="E6" s="4">
        <v>0.84</v>
      </c>
      <c r="F6" s="4">
        <v>0.88</v>
      </c>
      <c r="G6" s="4">
        <v>0.93200000000000005</v>
      </c>
      <c r="H6" s="4">
        <v>0.8666666666666667</v>
      </c>
      <c r="I6" s="4">
        <v>0.88</v>
      </c>
      <c r="J6" s="4">
        <v>0.96</v>
      </c>
    </row>
    <row r="7" spans="2:10" x14ac:dyDescent="0.3">
      <c r="B7" s="2" t="s">
        <v>33</v>
      </c>
      <c r="C7" s="3" t="s">
        <v>73</v>
      </c>
      <c r="D7" s="4">
        <v>0.82</v>
      </c>
      <c r="E7" s="4">
        <v>0.88</v>
      </c>
      <c r="F7" s="4">
        <v>0.98</v>
      </c>
      <c r="G7" s="4">
        <v>0.90799999999999992</v>
      </c>
      <c r="H7" s="4">
        <v>0.9</v>
      </c>
      <c r="I7" s="4">
        <v>0.94</v>
      </c>
      <c r="J7" s="4">
        <v>0.94</v>
      </c>
    </row>
    <row r="8" spans="2:10" x14ac:dyDescent="0.3">
      <c r="B8" s="2" t="s">
        <v>12</v>
      </c>
      <c r="C8" s="3" t="s">
        <v>52</v>
      </c>
      <c r="D8" s="4">
        <v>0.94</v>
      </c>
      <c r="E8" s="4">
        <v>0.84</v>
      </c>
      <c r="F8" s="4">
        <v>0.84</v>
      </c>
      <c r="G8" s="4">
        <v>0.85199999999999998</v>
      </c>
      <c r="H8" s="4">
        <v>0.83333333333333337</v>
      </c>
      <c r="I8" s="4">
        <v>0.8666666666666667</v>
      </c>
      <c r="J8" s="4">
        <v>0.98</v>
      </c>
    </row>
    <row r="9" spans="2:10" x14ac:dyDescent="0.3">
      <c r="B9" s="2" t="s">
        <v>16</v>
      </c>
      <c r="C9" s="3" t="s">
        <v>56</v>
      </c>
      <c r="D9" s="4">
        <v>0.82</v>
      </c>
      <c r="E9" s="4">
        <v>0.9</v>
      </c>
      <c r="F9" s="4">
        <v>0.96</v>
      </c>
      <c r="G9" s="4">
        <v>0.86</v>
      </c>
      <c r="H9" s="4">
        <v>0.8666666666666667</v>
      </c>
      <c r="I9" s="4">
        <v>0.8666666666666667</v>
      </c>
      <c r="J9" s="4">
        <v>0.98</v>
      </c>
    </row>
    <row r="10" spans="2:10" x14ac:dyDescent="0.3">
      <c r="B10" s="2" t="s">
        <v>19</v>
      </c>
      <c r="C10" s="3" t="s">
        <v>59</v>
      </c>
      <c r="D10" s="4">
        <v>0.88</v>
      </c>
      <c r="E10" s="4">
        <v>0.92</v>
      </c>
      <c r="F10" s="4">
        <v>0.92</v>
      </c>
      <c r="G10" s="4">
        <v>0.9</v>
      </c>
      <c r="H10" s="4">
        <v>0.9</v>
      </c>
      <c r="I10" s="4">
        <v>0.9</v>
      </c>
      <c r="J10" s="4">
        <v>0.96</v>
      </c>
    </row>
    <row r="11" spans="2:10" x14ac:dyDescent="0.3">
      <c r="B11" s="2" t="s">
        <v>7</v>
      </c>
      <c r="C11" s="3" t="s">
        <v>47</v>
      </c>
      <c r="D11" s="4">
        <v>0.94</v>
      </c>
      <c r="E11" s="4">
        <v>0.9</v>
      </c>
      <c r="F11" s="4">
        <v>0.84</v>
      </c>
      <c r="G11" s="4">
        <v>0.76400000000000001</v>
      </c>
      <c r="H11" s="4">
        <v>0.8</v>
      </c>
      <c r="I11" s="4">
        <v>0.84</v>
      </c>
      <c r="J11" s="4">
        <v>0.94</v>
      </c>
    </row>
    <row r="12" spans="2:10" x14ac:dyDescent="0.3">
      <c r="B12" s="2" t="s">
        <v>6</v>
      </c>
      <c r="C12" s="3" t="s">
        <v>46</v>
      </c>
      <c r="D12" s="4">
        <v>0.82</v>
      </c>
      <c r="E12" s="4">
        <v>0.9</v>
      </c>
      <c r="F12" s="4">
        <v>0.9</v>
      </c>
      <c r="G12" s="4">
        <v>0.91200000000000003</v>
      </c>
      <c r="H12" s="4">
        <v>0.93333333333333335</v>
      </c>
      <c r="I12" s="4">
        <v>0.81333333333333324</v>
      </c>
      <c r="J12" s="4">
        <v>1</v>
      </c>
    </row>
    <row r="13" spans="2:10" x14ac:dyDescent="0.3">
      <c r="B13" s="2" t="s">
        <v>25</v>
      </c>
      <c r="C13" s="3" t="s">
        <v>65</v>
      </c>
      <c r="D13" s="4">
        <v>0.78</v>
      </c>
      <c r="E13" s="4">
        <v>0.9</v>
      </c>
      <c r="F13" s="4">
        <v>0.98</v>
      </c>
      <c r="G13" s="4">
        <v>0.89</v>
      </c>
      <c r="H13" s="4">
        <v>0.93333333333333335</v>
      </c>
      <c r="I13" s="4">
        <v>0.94666666666666655</v>
      </c>
      <c r="J13" s="4">
        <v>0.96</v>
      </c>
    </row>
    <row r="14" spans="2:10" x14ac:dyDescent="0.3">
      <c r="B14" s="2" t="s">
        <v>21</v>
      </c>
      <c r="C14" s="3" t="s">
        <v>61</v>
      </c>
      <c r="D14" s="4">
        <v>0.84</v>
      </c>
      <c r="E14" s="4">
        <v>0.88</v>
      </c>
      <c r="F14" s="4">
        <v>0.9</v>
      </c>
      <c r="G14" s="4">
        <v>0.84799999999999998</v>
      </c>
      <c r="H14" s="4">
        <v>0.93333333333333335</v>
      </c>
      <c r="I14" s="4">
        <v>0.8</v>
      </c>
      <c r="J14" s="4">
        <v>0.96</v>
      </c>
    </row>
    <row r="15" spans="2:10" x14ac:dyDescent="0.3">
      <c r="B15" s="2" t="s">
        <v>24</v>
      </c>
      <c r="C15" s="3" t="s">
        <v>64</v>
      </c>
      <c r="D15" s="4">
        <v>0.76</v>
      </c>
      <c r="E15" s="4">
        <v>0.94</v>
      </c>
      <c r="F15" s="4">
        <v>0.92</v>
      </c>
      <c r="G15" s="4">
        <v>0.84</v>
      </c>
      <c r="H15" s="4">
        <v>0.76666666666666672</v>
      </c>
      <c r="I15" s="4">
        <v>0.86</v>
      </c>
      <c r="J15" s="4">
        <v>0.94</v>
      </c>
    </row>
    <row r="16" spans="2:10" x14ac:dyDescent="0.3">
      <c r="B16" s="2" t="s">
        <v>10</v>
      </c>
      <c r="C16" s="3" t="s">
        <v>50</v>
      </c>
      <c r="D16" s="4">
        <v>0.9</v>
      </c>
      <c r="E16" s="4">
        <v>0.86</v>
      </c>
      <c r="F16" s="4">
        <v>0.92</v>
      </c>
      <c r="G16" s="4">
        <v>0.88</v>
      </c>
      <c r="H16" s="4">
        <v>0.93333333333333335</v>
      </c>
      <c r="I16" s="4">
        <v>0.92666666666666675</v>
      </c>
      <c r="J16" s="4">
        <v>0.98</v>
      </c>
    </row>
    <row r="17" spans="2:10" x14ac:dyDescent="0.3">
      <c r="B17" s="2" t="s">
        <v>26</v>
      </c>
      <c r="C17" s="3" t="s">
        <v>66</v>
      </c>
      <c r="D17" s="4">
        <v>0.8</v>
      </c>
      <c r="E17" s="4">
        <v>0.86</v>
      </c>
      <c r="F17" s="4">
        <v>0.88</v>
      </c>
      <c r="G17" s="4">
        <v>0.83599999999999997</v>
      </c>
      <c r="H17" s="4">
        <v>0.8</v>
      </c>
      <c r="I17" s="4">
        <v>0.87333333333333341</v>
      </c>
      <c r="J17" s="4">
        <v>0.94</v>
      </c>
    </row>
    <row r="18" spans="2:10" x14ac:dyDescent="0.3">
      <c r="B18" s="2" t="s">
        <v>28</v>
      </c>
      <c r="C18" s="3" t="s">
        <v>68</v>
      </c>
      <c r="D18" s="4">
        <v>0.82</v>
      </c>
      <c r="E18" s="4">
        <v>0.82</v>
      </c>
      <c r="F18" s="4">
        <v>0.98</v>
      </c>
      <c r="G18" s="4">
        <v>0.90199999999999991</v>
      </c>
      <c r="H18" s="4">
        <v>0.8666666666666667</v>
      </c>
      <c r="I18" s="4">
        <v>0.84</v>
      </c>
      <c r="J18" s="4">
        <v>0.98</v>
      </c>
    </row>
    <row r="19" spans="2:10" x14ac:dyDescent="0.3">
      <c r="B19" s="2" t="s">
        <v>38</v>
      </c>
      <c r="C19" s="3" t="s">
        <v>78</v>
      </c>
      <c r="D19" s="4">
        <v>0.88</v>
      </c>
      <c r="E19" s="4">
        <v>0.98</v>
      </c>
      <c r="F19" s="4">
        <v>0.82</v>
      </c>
      <c r="G19" s="4">
        <v>0.77</v>
      </c>
      <c r="H19" s="4">
        <v>0.83333333333333337</v>
      </c>
      <c r="I19" s="4">
        <v>0.94</v>
      </c>
      <c r="J19" s="4">
        <v>0.96</v>
      </c>
    </row>
    <row r="20" spans="2:10" x14ac:dyDescent="0.3">
      <c r="B20" s="2" t="s">
        <v>37</v>
      </c>
      <c r="C20" s="3" t="s">
        <v>77</v>
      </c>
      <c r="D20" s="4">
        <v>0.76</v>
      </c>
      <c r="E20" s="4">
        <v>0.86</v>
      </c>
      <c r="F20" s="4">
        <v>0.86</v>
      </c>
      <c r="G20" s="4">
        <v>0.83200000000000007</v>
      </c>
      <c r="H20" s="4">
        <v>0.8666666666666667</v>
      </c>
      <c r="I20" s="4">
        <v>0.88666666666666671</v>
      </c>
      <c r="J20" s="4">
        <v>0.98</v>
      </c>
    </row>
    <row r="21" spans="2:10" x14ac:dyDescent="0.3">
      <c r="B21" s="2" t="s">
        <v>9</v>
      </c>
      <c r="C21" s="3" t="s">
        <v>49</v>
      </c>
      <c r="D21" s="4">
        <v>0.84</v>
      </c>
      <c r="E21" s="4">
        <v>0.98</v>
      </c>
      <c r="F21" s="4">
        <v>0.82</v>
      </c>
      <c r="G21" s="4">
        <v>0.92</v>
      </c>
      <c r="H21" s="4">
        <v>0.96666666666666667</v>
      </c>
      <c r="I21" s="4">
        <v>0.90666666666666673</v>
      </c>
      <c r="J21" s="4">
        <v>0.96</v>
      </c>
    </row>
    <row r="22" spans="2:10" x14ac:dyDescent="0.3">
      <c r="B22" s="2" t="s">
        <v>1</v>
      </c>
      <c r="C22" s="3" t="s">
        <v>41</v>
      </c>
      <c r="D22" s="4">
        <v>0.96</v>
      </c>
      <c r="E22" s="4">
        <v>0.88</v>
      </c>
      <c r="F22" s="4">
        <v>0.8</v>
      </c>
      <c r="G22" s="4">
        <v>0.88400000000000001</v>
      </c>
      <c r="H22" s="4">
        <v>0.9</v>
      </c>
      <c r="I22" s="4">
        <v>0.88666666666666671</v>
      </c>
      <c r="J22" s="4">
        <v>0.92</v>
      </c>
    </row>
    <row r="23" spans="2:10" x14ac:dyDescent="0.3">
      <c r="B23" s="2" t="s">
        <v>2</v>
      </c>
      <c r="C23" s="3" t="s">
        <v>42</v>
      </c>
      <c r="D23" s="4">
        <v>0.88</v>
      </c>
      <c r="E23" s="4">
        <v>0.88</v>
      </c>
      <c r="F23" s="4">
        <v>0.94</v>
      </c>
      <c r="G23" s="4">
        <v>0.872</v>
      </c>
      <c r="H23" s="4">
        <v>0.8</v>
      </c>
      <c r="I23" s="4">
        <v>0.74666666666666659</v>
      </c>
      <c r="J23" s="4">
        <v>0.94</v>
      </c>
    </row>
    <row r="24" spans="2:10" x14ac:dyDescent="0.3">
      <c r="B24" s="2" t="s">
        <v>36</v>
      </c>
      <c r="C24" s="3" t="s">
        <v>76</v>
      </c>
      <c r="D24" s="4">
        <v>0.72</v>
      </c>
      <c r="E24" s="4">
        <v>0.86</v>
      </c>
      <c r="F24" s="4">
        <v>0.84</v>
      </c>
      <c r="G24" s="4">
        <v>0.85599999999999998</v>
      </c>
      <c r="H24" s="4">
        <v>0.76666666666666672</v>
      </c>
      <c r="I24" s="4">
        <v>0.78666666666666663</v>
      </c>
      <c r="J24" s="4">
        <v>0.98</v>
      </c>
    </row>
    <row r="25" spans="2:10" x14ac:dyDescent="0.3">
      <c r="B25" s="2" t="s">
        <v>14</v>
      </c>
      <c r="C25" s="3" t="s">
        <v>54</v>
      </c>
      <c r="D25" s="4">
        <v>0.82</v>
      </c>
      <c r="E25" s="4">
        <v>0.9</v>
      </c>
      <c r="F25" s="4">
        <v>0.82</v>
      </c>
      <c r="G25" s="4">
        <v>0.89200000000000002</v>
      </c>
      <c r="H25" s="4">
        <v>0.83333333333333337</v>
      </c>
      <c r="I25" s="4">
        <v>0.84</v>
      </c>
      <c r="J25" s="4">
        <v>0.96</v>
      </c>
    </row>
    <row r="26" spans="2:10" x14ac:dyDescent="0.3">
      <c r="B26" s="2" t="s">
        <v>8</v>
      </c>
      <c r="C26" s="3" t="s">
        <v>48</v>
      </c>
      <c r="D26" s="4">
        <v>0.98</v>
      </c>
      <c r="E26" s="4">
        <v>0.8</v>
      </c>
      <c r="F26" s="4">
        <v>0.86</v>
      </c>
      <c r="G26" s="4">
        <v>0.99199999999999999</v>
      </c>
      <c r="H26" s="4">
        <v>0.9</v>
      </c>
      <c r="I26" s="4">
        <v>0.89333333333333342</v>
      </c>
      <c r="J26" s="4">
        <v>0.98</v>
      </c>
    </row>
    <row r="27" spans="2:10" x14ac:dyDescent="0.3">
      <c r="B27" s="2" t="s">
        <v>4</v>
      </c>
      <c r="C27" s="3" t="s">
        <v>44</v>
      </c>
      <c r="D27" s="4">
        <v>0.9</v>
      </c>
      <c r="E27" s="4">
        <v>0.9</v>
      </c>
      <c r="F27" s="4">
        <v>0.9</v>
      </c>
      <c r="G27" s="4">
        <v>0.9</v>
      </c>
      <c r="H27" s="4">
        <v>0.93333333333333335</v>
      </c>
      <c r="I27" s="4">
        <v>0.92666666666666675</v>
      </c>
      <c r="J27" s="4">
        <v>1</v>
      </c>
    </row>
    <row r="28" spans="2:10" x14ac:dyDescent="0.3">
      <c r="B28" s="2" t="s">
        <v>35</v>
      </c>
      <c r="C28" s="3" t="s">
        <v>75</v>
      </c>
      <c r="D28" s="4">
        <v>0.9</v>
      </c>
      <c r="E28" s="4">
        <v>0.9</v>
      </c>
      <c r="F28" s="4">
        <v>0.92</v>
      </c>
      <c r="G28" s="4">
        <v>0.85599999999999998</v>
      </c>
      <c r="H28" s="4">
        <v>0.8</v>
      </c>
      <c r="I28" s="4">
        <v>0.8666666666666667</v>
      </c>
      <c r="J28" s="4">
        <v>0.98</v>
      </c>
    </row>
    <row r="29" spans="2:10" x14ac:dyDescent="0.3">
      <c r="B29" s="2" t="s">
        <v>34</v>
      </c>
      <c r="C29" s="3" t="s">
        <v>74</v>
      </c>
      <c r="D29" s="4">
        <v>0.8</v>
      </c>
      <c r="E29" s="4">
        <v>0.9</v>
      </c>
      <c r="F29" s="4">
        <v>0.92</v>
      </c>
      <c r="G29" s="4">
        <v>0.88</v>
      </c>
      <c r="H29" s="4">
        <v>0.93333333333333335</v>
      </c>
      <c r="I29" s="4">
        <v>0.96</v>
      </c>
      <c r="J29" s="4">
        <v>0.9</v>
      </c>
    </row>
    <row r="30" spans="2:10" x14ac:dyDescent="0.3">
      <c r="B30" s="2" t="s">
        <v>5</v>
      </c>
      <c r="C30" s="3" t="s">
        <v>45</v>
      </c>
      <c r="D30" s="4">
        <v>0.86</v>
      </c>
      <c r="E30" s="4">
        <v>0.84</v>
      </c>
      <c r="F30" s="4">
        <v>0.9</v>
      </c>
      <c r="G30" s="4">
        <v>0.91200000000000003</v>
      </c>
      <c r="H30" s="4">
        <v>0.8666666666666667</v>
      </c>
      <c r="I30" s="4">
        <v>0.8666666666666667</v>
      </c>
      <c r="J30" s="4">
        <v>0.96</v>
      </c>
    </row>
    <row r="31" spans="2:10" x14ac:dyDescent="0.3">
      <c r="B31" s="2" t="s">
        <v>15</v>
      </c>
      <c r="C31" s="3" t="s">
        <v>55</v>
      </c>
      <c r="D31" s="4">
        <v>0.78</v>
      </c>
      <c r="E31" s="4">
        <v>0.84</v>
      </c>
      <c r="F31" s="4">
        <v>0.98</v>
      </c>
      <c r="G31" s="4">
        <v>0.87599999999999989</v>
      </c>
      <c r="H31" s="4">
        <v>0.83333333333333337</v>
      </c>
      <c r="I31" s="4">
        <v>0.91333333333333344</v>
      </c>
      <c r="J31" s="4">
        <v>0.96</v>
      </c>
    </row>
    <row r="32" spans="2:10" x14ac:dyDescent="0.3">
      <c r="B32" s="2" t="s">
        <v>23</v>
      </c>
      <c r="C32" s="3" t="s">
        <v>63</v>
      </c>
      <c r="D32" s="4">
        <v>0.8</v>
      </c>
      <c r="E32" s="4">
        <v>0.86</v>
      </c>
      <c r="F32" s="4">
        <v>0.84</v>
      </c>
      <c r="G32" s="4">
        <v>0.88</v>
      </c>
      <c r="H32" s="4">
        <v>0.8666666666666667</v>
      </c>
      <c r="I32" s="4">
        <v>0.92</v>
      </c>
      <c r="J32" s="4">
        <v>0.94</v>
      </c>
    </row>
    <row r="33" spans="2:10" x14ac:dyDescent="0.3">
      <c r="B33" s="2" t="s">
        <v>22</v>
      </c>
      <c r="C33" s="3" t="s">
        <v>62</v>
      </c>
      <c r="D33" s="4">
        <v>0.88</v>
      </c>
      <c r="E33" s="4">
        <v>0.88</v>
      </c>
      <c r="F33" s="4">
        <v>0.96</v>
      </c>
      <c r="G33" s="4">
        <v>0.85599999999999998</v>
      </c>
      <c r="H33" s="4">
        <v>0.8666666666666667</v>
      </c>
      <c r="I33" s="4">
        <v>0.83333333333333326</v>
      </c>
      <c r="J33" s="4">
        <v>0.98</v>
      </c>
    </row>
    <row r="34" spans="2:10" x14ac:dyDescent="0.3">
      <c r="B34" s="2" t="s">
        <v>13</v>
      </c>
      <c r="C34" s="3" t="s">
        <v>53</v>
      </c>
      <c r="D34" s="4">
        <v>0.92</v>
      </c>
      <c r="E34" s="4">
        <v>0.94</v>
      </c>
      <c r="F34" s="4">
        <v>0.92</v>
      </c>
      <c r="G34" s="4">
        <v>0.88</v>
      </c>
      <c r="H34" s="4">
        <v>0.8666666666666667</v>
      </c>
      <c r="I34" s="4">
        <v>0.93333333333333346</v>
      </c>
      <c r="J34" s="4">
        <v>0.96</v>
      </c>
    </row>
    <row r="35" spans="2:10" x14ac:dyDescent="0.3">
      <c r="B35" s="2" t="s">
        <v>30</v>
      </c>
      <c r="C35" s="3" t="s">
        <v>70</v>
      </c>
      <c r="D35" s="4">
        <v>0.86</v>
      </c>
      <c r="E35" s="4">
        <v>0.9</v>
      </c>
      <c r="F35" s="4">
        <v>0.94</v>
      </c>
      <c r="G35" s="4">
        <v>0.93599999999999994</v>
      </c>
      <c r="H35" s="4">
        <v>0.9</v>
      </c>
      <c r="I35" s="4">
        <v>0.9</v>
      </c>
      <c r="J35" s="4">
        <v>0.98</v>
      </c>
    </row>
    <row r="36" spans="2:10" x14ac:dyDescent="0.3">
      <c r="B36" s="2" t="s">
        <v>18</v>
      </c>
      <c r="C36" s="3" t="s">
        <v>58</v>
      </c>
      <c r="D36" s="4">
        <v>0.74</v>
      </c>
      <c r="E36" s="4">
        <v>0.9</v>
      </c>
      <c r="F36" s="4">
        <v>0.92</v>
      </c>
      <c r="G36" s="4">
        <v>0.87599999999999989</v>
      </c>
      <c r="H36" s="4">
        <v>0.9</v>
      </c>
      <c r="I36" s="4">
        <v>0.9</v>
      </c>
      <c r="J36" s="4">
        <v>0.96</v>
      </c>
    </row>
    <row r="37" spans="2:10" x14ac:dyDescent="0.3">
      <c r="B37" s="2" t="s">
        <v>17</v>
      </c>
      <c r="C37" s="3" t="s">
        <v>57</v>
      </c>
      <c r="D37" s="4">
        <v>0.84</v>
      </c>
      <c r="E37" s="4">
        <v>0.92</v>
      </c>
      <c r="F37" s="4">
        <v>0.94</v>
      </c>
      <c r="G37" s="4">
        <v>0.89200000000000002</v>
      </c>
      <c r="H37" s="4">
        <v>0.73333333333333328</v>
      </c>
      <c r="I37" s="4">
        <v>0.84666666666666668</v>
      </c>
      <c r="J37" s="4">
        <v>0.92</v>
      </c>
    </row>
    <row r="38" spans="2:10" x14ac:dyDescent="0.3">
      <c r="B38" s="2" t="s">
        <v>3</v>
      </c>
      <c r="C38" s="3" t="s">
        <v>43</v>
      </c>
      <c r="D38" s="4">
        <v>0.96</v>
      </c>
      <c r="E38" s="4">
        <v>0.94</v>
      </c>
      <c r="F38" s="4">
        <v>0.96</v>
      </c>
      <c r="G38" s="4">
        <v>0.94</v>
      </c>
      <c r="H38" s="4">
        <v>0.96666666666666667</v>
      </c>
      <c r="I38" s="4">
        <v>0.98</v>
      </c>
      <c r="J38" s="4">
        <v>1</v>
      </c>
    </row>
    <row r="39" spans="2:10" x14ac:dyDescent="0.3">
      <c r="B39" s="2" t="s">
        <v>20</v>
      </c>
      <c r="C39" s="3" t="s">
        <v>60</v>
      </c>
      <c r="D39" s="4">
        <v>0.78</v>
      </c>
      <c r="E39" s="4">
        <v>0.86</v>
      </c>
      <c r="F39" s="4">
        <v>0.9</v>
      </c>
      <c r="G39" s="4">
        <v>0.94</v>
      </c>
      <c r="H39" s="4">
        <v>0.8666666666666667</v>
      </c>
      <c r="I39" s="4">
        <v>0.90666666666666673</v>
      </c>
      <c r="J39" s="4">
        <v>0.96</v>
      </c>
    </row>
    <row r="40" spans="2:10" x14ac:dyDescent="0.3">
      <c r="B40" s="2" t="s">
        <v>11</v>
      </c>
      <c r="C40" s="3" t="s">
        <v>51</v>
      </c>
      <c r="D40" s="4">
        <v>0.9</v>
      </c>
      <c r="E40" s="4">
        <v>0.92</v>
      </c>
      <c r="F40" s="4">
        <v>0.94</v>
      </c>
      <c r="G40" s="4">
        <v>0.82400000000000007</v>
      </c>
      <c r="H40" s="4">
        <v>0.8</v>
      </c>
      <c r="I40" s="4">
        <v>0.90666666666666673</v>
      </c>
      <c r="J40" s="4">
        <v>0.96</v>
      </c>
    </row>
    <row r="41" spans="2:10" x14ac:dyDescent="0.3">
      <c r="B41" s="2" t="s">
        <v>29</v>
      </c>
      <c r="C41" s="3" t="s">
        <v>69</v>
      </c>
      <c r="D41" s="4">
        <v>0.74</v>
      </c>
      <c r="E41" s="4">
        <v>0.84</v>
      </c>
      <c r="F41" s="4">
        <v>0.98</v>
      </c>
      <c r="G41" s="4">
        <v>0.85199999999999998</v>
      </c>
      <c r="H41" s="4">
        <v>0.9</v>
      </c>
      <c r="I41" s="4">
        <v>0.78666666666666663</v>
      </c>
      <c r="J41" s="4">
        <v>0.92</v>
      </c>
    </row>
    <row r="42" spans="2:10" x14ac:dyDescent="0.3">
      <c r="B42" s="2" t="s">
        <v>86</v>
      </c>
      <c r="C42" s="3" t="s">
        <v>88</v>
      </c>
      <c r="D42" s="4">
        <v>0.88</v>
      </c>
      <c r="E42" s="4">
        <v>0.82</v>
      </c>
      <c r="F42" s="4">
        <v>0.94</v>
      </c>
      <c r="G42" s="4">
        <v>0.90400000000000003</v>
      </c>
      <c r="H42" s="4">
        <v>0.8666666666666667</v>
      </c>
      <c r="I42" s="4">
        <v>0.92666666666666675</v>
      </c>
      <c r="J42" s="4">
        <v>0.98</v>
      </c>
    </row>
    <row r="43" spans="2:10" x14ac:dyDescent="0.3">
      <c r="B43" s="2" t="s">
        <v>87</v>
      </c>
      <c r="C43" s="3" t="s">
        <v>89</v>
      </c>
      <c r="D43" s="4">
        <v>0.82</v>
      </c>
      <c r="E43" s="4">
        <v>0.84</v>
      </c>
      <c r="F43" s="4">
        <v>0.84</v>
      </c>
      <c r="G43" s="4">
        <v>0.82799999999999996</v>
      </c>
      <c r="H43" s="4">
        <v>0.93333333333333335</v>
      </c>
      <c r="I43" s="4">
        <v>0.98</v>
      </c>
      <c r="J43" s="4">
        <v>0.98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6A1EF-2DE7-4193-ADED-3E9C1E251A53}">
  <dimension ref="B3:G44"/>
  <sheetViews>
    <sheetView workbookViewId="0">
      <selection activeCell="C3" sqref="C3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7.21875" customWidth="1"/>
    <col min="5" max="5" width="7.44140625" customWidth="1"/>
    <col min="6" max="6" width="5.21875" bestFit="1" customWidth="1"/>
    <col min="7" max="7" width="4.44140625" bestFit="1" customWidth="1"/>
  </cols>
  <sheetData>
    <row r="3" spans="2:7" ht="72" x14ac:dyDescent="0.3">
      <c r="B3" s="1" t="s">
        <v>0</v>
      </c>
      <c r="C3" s="1" t="s">
        <v>40</v>
      </c>
      <c r="D3" s="5" t="s">
        <v>81</v>
      </c>
      <c r="E3" s="5" t="s">
        <v>82</v>
      </c>
      <c r="F3" s="1" t="s">
        <v>80</v>
      </c>
      <c r="G3" s="5" t="s">
        <v>83</v>
      </c>
    </row>
    <row r="4" spans="2:7" x14ac:dyDescent="0.3">
      <c r="B4" s="2" t="s">
        <v>39</v>
      </c>
      <c r="C4" s="3" t="s">
        <v>79</v>
      </c>
      <c r="D4" s="3">
        <v>29</v>
      </c>
      <c r="E4" s="3">
        <v>15</v>
      </c>
      <c r="F4" s="3">
        <f>D4+E4</f>
        <v>44</v>
      </c>
      <c r="G4" s="4">
        <f>F4/50</f>
        <v>0.88</v>
      </c>
    </row>
    <row r="5" spans="2:7" x14ac:dyDescent="0.3">
      <c r="B5" s="2" t="s">
        <v>32</v>
      </c>
      <c r="C5" s="3" t="s">
        <v>72</v>
      </c>
      <c r="D5" s="3">
        <v>25</v>
      </c>
      <c r="E5" s="3">
        <v>10</v>
      </c>
      <c r="F5" s="3">
        <f t="shared" ref="F5:F44" si="0">D5+E5</f>
        <v>35</v>
      </c>
      <c r="G5" s="4">
        <f t="shared" ref="G5:G44" si="1">F5/50</f>
        <v>0.7</v>
      </c>
    </row>
    <row r="6" spans="2:7" x14ac:dyDescent="0.3">
      <c r="B6" s="2" t="s">
        <v>27</v>
      </c>
      <c r="C6" s="3" t="s">
        <v>67</v>
      </c>
      <c r="D6" s="3">
        <v>27</v>
      </c>
      <c r="E6" s="3">
        <v>17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31</v>
      </c>
      <c r="C7" s="3" t="s">
        <v>71</v>
      </c>
      <c r="D7" s="3">
        <v>29</v>
      </c>
      <c r="E7" s="3">
        <v>14</v>
      </c>
      <c r="F7" s="3">
        <f t="shared" si="0"/>
        <v>43</v>
      </c>
      <c r="G7" s="4">
        <f t="shared" si="1"/>
        <v>0.86</v>
      </c>
    </row>
    <row r="8" spans="2:7" x14ac:dyDescent="0.3">
      <c r="B8" s="2" t="s">
        <v>33</v>
      </c>
      <c r="C8" s="3" t="s">
        <v>73</v>
      </c>
      <c r="D8" s="3">
        <v>27</v>
      </c>
      <c r="E8" s="3">
        <v>14</v>
      </c>
      <c r="F8" s="3">
        <f t="shared" si="0"/>
        <v>41</v>
      </c>
      <c r="G8" s="4">
        <f t="shared" si="1"/>
        <v>0.82</v>
      </c>
    </row>
    <row r="9" spans="2:7" x14ac:dyDescent="0.3">
      <c r="B9" s="2" t="s">
        <v>12</v>
      </c>
      <c r="C9" s="3" t="s">
        <v>52</v>
      </c>
      <c r="D9" s="3">
        <v>28</v>
      </c>
      <c r="E9" s="3">
        <v>19</v>
      </c>
      <c r="F9" s="3">
        <f t="shared" si="0"/>
        <v>47</v>
      </c>
      <c r="G9" s="4">
        <f t="shared" si="1"/>
        <v>0.94</v>
      </c>
    </row>
    <row r="10" spans="2:7" x14ac:dyDescent="0.3">
      <c r="B10" s="2" t="s">
        <v>16</v>
      </c>
      <c r="C10" s="3" t="s">
        <v>56</v>
      </c>
      <c r="D10" s="3">
        <v>26</v>
      </c>
      <c r="E10" s="3">
        <v>15</v>
      </c>
      <c r="F10" s="3">
        <f t="shared" si="0"/>
        <v>41</v>
      </c>
      <c r="G10" s="4">
        <f t="shared" si="1"/>
        <v>0.82</v>
      </c>
    </row>
    <row r="11" spans="2:7" x14ac:dyDescent="0.3">
      <c r="B11" s="2" t="s">
        <v>19</v>
      </c>
      <c r="C11" s="3" t="s">
        <v>59</v>
      </c>
      <c r="D11" s="3">
        <v>28</v>
      </c>
      <c r="E11" s="3">
        <v>16</v>
      </c>
      <c r="F11" s="3">
        <f t="shared" si="0"/>
        <v>44</v>
      </c>
      <c r="G11" s="4">
        <f t="shared" si="1"/>
        <v>0.88</v>
      </c>
    </row>
    <row r="12" spans="2:7" x14ac:dyDescent="0.3">
      <c r="B12" s="2" t="s">
        <v>7</v>
      </c>
      <c r="C12" s="3" t="s">
        <v>47</v>
      </c>
      <c r="D12" s="3">
        <v>28</v>
      </c>
      <c r="E12" s="3">
        <v>19</v>
      </c>
      <c r="F12" s="3">
        <f t="shared" si="0"/>
        <v>47</v>
      </c>
      <c r="G12" s="4">
        <f t="shared" si="1"/>
        <v>0.94</v>
      </c>
    </row>
    <row r="13" spans="2:7" x14ac:dyDescent="0.3">
      <c r="B13" s="2" t="s">
        <v>6</v>
      </c>
      <c r="C13" s="3" t="s">
        <v>46</v>
      </c>
      <c r="D13" s="3">
        <v>27</v>
      </c>
      <c r="E13" s="3">
        <v>14</v>
      </c>
      <c r="F13" s="3">
        <f t="shared" si="0"/>
        <v>41</v>
      </c>
      <c r="G13" s="4">
        <f t="shared" si="1"/>
        <v>0.82</v>
      </c>
    </row>
    <row r="14" spans="2:7" x14ac:dyDescent="0.3">
      <c r="B14" s="2" t="s">
        <v>25</v>
      </c>
      <c r="C14" s="3" t="s">
        <v>65</v>
      </c>
      <c r="D14" s="3">
        <v>24</v>
      </c>
      <c r="E14" s="3">
        <v>15</v>
      </c>
      <c r="F14" s="3">
        <f t="shared" si="0"/>
        <v>39</v>
      </c>
      <c r="G14" s="4">
        <f t="shared" si="1"/>
        <v>0.78</v>
      </c>
    </row>
    <row r="15" spans="2:7" x14ac:dyDescent="0.3">
      <c r="B15" s="2" t="s">
        <v>21</v>
      </c>
      <c r="C15" s="3" t="s">
        <v>61</v>
      </c>
      <c r="D15" s="3">
        <v>26</v>
      </c>
      <c r="E15" s="3">
        <v>16</v>
      </c>
      <c r="F15" s="3">
        <f t="shared" si="0"/>
        <v>42</v>
      </c>
      <c r="G15" s="4">
        <f t="shared" si="1"/>
        <v>0.84</v>
      </c>
    </row>
    <row r="16" spans="2:7" x14ac:dyDescent="0.3">
      <c r="B16" s="2" t="s">
        <v>24</v>
      </c>
      <c r="C16" s="3" t="s">
        <v>64</v>
      </c>
      <c r="D16" s="3">
        <v>25</v>
      </c>
      <c r="E16" s="3">
        <v>13</v>
      </c>
      <c r="F16" s="3">
        <f t="shared" si="0"/>
        <v>38</v>
      </c>
      <c r="G16" s="4">
        <f t="shared" si="1"/>
        <v>0.76</v>
      </c>
    </row>
    <row r="17" spans="2:7" x14ac:dyDescent="0.3">
      <c r="B17" s="2" t="s">
        <v>10</v>
      </c>
      <c r="C17" s="3" t="s">
        <v>50</v>
      </c>
      <c r="D17" s="3">
        <v>27</v>
      </c>
      <c r="E17" s="3">
        <v>18</v>
      </c>
      <c r="F17" s="3">
        <f t="shared" si="0"/>
        <v>45</v>
      </c>
      <c r="G17" s="4">
        <f t="shared" si="1"/>
        <v>0.9</v>
      </c>
    </row>
    <row r="18" spans="2:7" x14ac:dyDescent="0.3">
      <c r="B18" s="2" t="s">
        <v>26</v>
      </c>
      <c r="C18" s="3" t="s">
        <v>66</v>
      </c>
      <c r="D18" s="3">
        <v>25</v>
      </c>
      <c r="E18" s="3">
        <v>15</v>
      </c>
      <c r="F18" s="3">
        <f t="shared" si="0"/>
        <v>40</v>
      </c>
      <c r="G18" s="4">
        <f t="shared" si="1"/>
        <v>0.8</v>
      </c>
    </row>
    <row r="19" spans="2:7" x14ac:dyDescent="0.3">
      <c r="B19" s="2" t="s">
        <v>28</v>
      </c>
      <c r="C19" s="3" t="s">
        <v>68</v>
      </c>
      <c r="D19" s="3">
        <v>25</v>
      </c>
      <c r="E19" s="3">
        <v>16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38</v>
      </c>
      <c r="C20" s="3" t="s">
        <v>78</v>
      </c>
      <c r="D20" s="3">
        <v>28</v>
      </c>
      <c r="E20" s="3">
        <v>16</v>
      </c>
      <c r="F20" s="3">
        <f t="shared" si="0"/>
        <v>44</v>
      </c>
      <c r="G20" s="4">
        <f t="shared" si="1"/>
        <v>0.88</v>
      </c>
    </row>
    <row r="21" spans="2:7" x14ac:dyDescent="0.3">
      <c r="B21" s="2" t="s">
        <v>37</v>
      </c>
      <c r="C21" s="3" t="s">
        <v>77</v>
      </c>
      <c r="D21" s="3">
        <v>22</v>
      </c>
      <c r="E21" s="3">
        <v>16</v>
      </c>
      <c r="F21" s="3">
        <f t="shared" si="0"/>
        <v>38</v>
      </c>
      <c r="G21" s="4">
        <f t="shared" si="1"/>
        <v>0.76</v>
      </c>
    </row>
    <row r="22" spans="2:7" x14ac:dyDescent="0.3">
      <c r="B22" s="2" t="s">
        <v>9</v>
      </c>
      <c r="C22" s="3" t="s">
        <v>49</v>
      </c>
      <c r="D22" s="3">
        <v>28</v>
      </c>
      <c r="E22" s="3">
        <v>14</v>
      </c>
      <c r="F22" s="3">
        <f t="shared" si="0"/>
        <v>42</v>
      </c>
      <c r="G22" s="4">
        <f t="shared" si="1"/>
        <v>0.84</v>
      </c>
    </row>
    <row r="23" spans="2:7" x14ac:dyDescent="0.3">
      <c r="B23" s="2" t="s">
        <v>1</v>
      </c>
      <c r="C23" s="3" t="s">
        <v>41</v>
      </c>
      <c r="D23" s="3">
        <v>28</v>
      </c>
      <c r="E23" s="3">
        <v>20</v>
      </c>
      <c r="F23" s="3">
        <f t="shared" si="0"/>
        <v>48</v>
      </c>
      <c r="G23" s="4">
        <f t="shared" si="1"/>
        <v>0.96</v>
      </c>
    </row>
    <row r="24" spans="2:7" x14ac:dyDescent="0.3">
      <c r="B24" s="2" t="s">
        <v>2</v>
      </c>
      <c r="C24" s="3" t="s">
        <v>42</v>
      </c>
      <c r="D24" s="3">
        <v>29</v>
      </c>
      <c r="E24" s="3">
        <v>15</v>
      </c>
      <c r="F24" s="3">
        <f t="shared" si="0"/>
        <v>44</v>
      </c>
      <c r="G24" s="4">
        <f t="shared" si="1"/>
        <v>0.88</v>
      </c>
    </row>
    <row r="25" spans="2:7" x14ac:dyDescent="0.3">
      <c r="B25" s="2" t="s">
        <v>36</v>
      </c>
      <c r="C25" s="3" t="s">
        <v>76</v>
      </c>
      <c r="D25" s="3">
        <v>21</v>
      </c>
      <c r="E25" s="3">
        <v>15</v>
      </c>
      <c r="F25" s="3">
        <f t="shared" si="0"/>
        <v>36</v>
      </c>
      <c r="G25" s="4">
        <f t="shared" si="1"/>
        <v>0.72</v>
      </c>
    </row>
    <row r="26" spans="2:7" x14ac:dyDescent="0.3">
      <c r="B26" s="2" t="s">
        <v>14</v>
      </c>
      <c r="C26" s="3" t="s">
        <v>54</v>
      </c>
      <c r="D26" s="3">
        <v>29</v>
      </c>
      <c r="E26" s="3">
        <v>12</v>
      </c>
      <c r="F26" s="3">
        <f t="shared" si="0"/>
        <v>41</v>
      </c>
      <c r="G26" s="4">
        <f t="shared" si="1"/>
        <v>0.82</v>
      </c>
    </row>
    <row r="27" spans="2:7" x14ac:dyDescent="0.3">
      <c r="B27" s="2" t="s">
        <v>8</v>
      </c>
      <c r="C27" s="3" t="s">
        <v>48</v>
      </c>
      <c r="D27" s="3">
        <v>29</v>
      </c>
      <c r="E27" s="3">
        <v>20</v>
      </c>
      <c r="F27" s="3">
        <f t="shared" si="0"/>
        <v>49</v>
      </c>
      <c r="G27" s="4">
        <f t="shared" si="1"/>
        <v>0.98</v>
      </c>
    </row>
    <row r="28" spans="2:7" x14ac:dyDescent="0.3">
      <c r="B28" s="2" t="s">
        <v>4</v>
      </c>
      <c r="C28" s="3" t="s">
        <v>44</v>
      </c>
      <c r="D28" s="3">
        <v>27</v>
      </c>
      <c r="E28" s="3">
        <v>18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35</v>
      </c>
      <c r="C29" s="3" t="s">
        <v>75</v>
      </c>
      <c r="D29" s="3">
        <v>28</v>
      </c>
      <c r="E29" s="3">
        <v>17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34</v>
      </c>
      <c r="C30" s="3" t="s">
        <v>74</v>
      </c>
      <c r="D30" s="3">
        <v>26</v>
      </c>
      <c r="E30" s="3">
        <v>14</v>
      </c>
      <c r="F30" s="3">
        <f t="shared" si="0"/>
        <v>40</v>
      </c>
      <c r="G30" s="4">
        <f t="shared" si="1"/>
        <v>0.8</v>
      </c>
    </row>
    <row r="31" spans="2:7" x14ac:dyDescent="0.3">
      <c r="B31" s="2" t="s">
        <v>5</v>
      </c>
      <c r="C31" s="3" t="s">
        <v>45</v>
      </c>
      <c r="D31" s="3">
        <v>28</v>
      </c>
      <c r="E31" s="3">
        <v>15</v>
      </c>
      <c r="F31" s="3">
        <f t="shared" si="0"/>
        <v>43</v>
      </c>
      <c r="G31" s="4">
        <f t="shared" si="1"/>
        <v>0.86</v>
      </c>
    </row>
    <row r="32" spans="2:7" x14ac:dyDescent="0.3">
      <c r="B32" s="2" t="s">
        <v>15</v>
      </c>
      <c r="C32" s="3" t="s">
        <v>55</v>
      </c>
      <c r="D32" s="3">
        <v>27</v>
      </c>
      <c r="E32" s="3">
        <v>12</v>
      </c>
      <c r="F32" s="3">
        <f t="shared" si="0"/>
        <v>39</v>
      </c>
      <c r="G32" s="4">
        <f t="shared" si="1"/>
        <v>0.78</v>
      </c>
    </row>
    <row r="33" spans="2:7" x14ac:dyDescent="0.3">
      <c r="B33" s="2" t="s">
        <v>23</v>
      </c>
      <c r="C33" s="3" t="s">
        <v>63</v>
      </c>
      <c r="D33" s="3">
        <v>29</v>
      </c>
      <c r="E33" s="3">
        <v>11</v>
      </c>
      <c r="F33" s="3">
        <f t="shared" si="0"/>
        <v>40</v>
      </c>
      <c r="G33" s="4">
        <f t="shared" si="1"/>
        <v>0.8</v>
      </c>
    </row>
    <row r="34" spans="2:7" x14ac:dyDescent="0.3">
      <c r="B34" s="2" t="s">
        <v>22</v>
      </c>
      <c r="C34" s="3" t="s">
        <v>62</v>
      </c>
      <c r="D34" s="3">
        <v>27</v>
      </c>
      <c r="E34" s="3">
        <v>17</v>
      </c>
      <c r="F34" s="3">
        <f t="shared" si="0"/>
        <v>44</v>
      </c>
      <c r="G34" s="4">
        <f t="shared" si="1"/>
        <v>0.88</v>
      </c>
    </row>
    <row r="35" spans="2:7" x14ac:dyDescent="0.3">
      <c r="B35" s="2" t="s">
        <v>13</v>
      </c>
      <c r="C35" s="3" t="s">
        <v>53</v>
      </c>
      <c r="D35" s="3">
        <v>29</v>
      </c>
      <c r="E35" s="3">
        <v>17</v>
      </c>
      <c r="F35" s="3">
        <f t="shared" si="0"/>
        <v>46</v>
      </c>
      <c r="G35" s="4">
        <f t="shared" si="1"/>
        <v>0.92</v>
      </c>
    </row>
    <row r="36" spans="2:7" x14ac:dyDescent="0.3">
      <c r="B36" s="2" t="s">
        <v>30</v>
      </c>
      <c r="C36" s="3" t="s">
        <v>70</v>
      </c>
      <c r="D36" s="3">
        <v>24</v>
      </c>
      <c r="E36" s="3">
        <v>19</v>
      </c>
      <c r="F36" s="3">
        <f t="shared" si="0"/>
        <v>43</v>
      </c>
      <c r="G36" s="4">
        <f t="shared" si="1"/>
        <v>0.86</v>
      </c>
    </row>
    <row r="37" spans="2:7" x14ac:dyDescent="0.3">
      <c r="B37" s="2" t="s">
        <v>18</v>
      </c>
      <c r="C37" s="3" t="s">
        <v>58</v>
      </c>
      <c r="D37" s="3">
        <v>28</v>
      </c>
      <c r="E37" s="3">
        <v>9</v>
      </c>
      <c r="F37" s="3">
        <f t="shared" si="0"/>
        <v>37</v>
      </c>
      <c r="G37" s="4">
        <f t="shared" si="1"/>
        <v>0.74</v>
      </c>
    </row>
    <row r="38" spans="2:7" x14ac:dyDescent="0.3">
      <c r="B38" s="2" t="s">
        <v>17</v>
      </c>
      <c r="C38" s="3" t="s">
        <v>57</v>
      </c>
      <c r="D38" s="3">
        <v>28</v>
      </c>
      <c r="E38" s="3">
        <v>14</v>
      </c>
      <c r="F38" s="3">
        <f t="shared" si="0"/>
        <v>42</v>
      </c>
      <c r="G38" s="4">
        <f t="shared" si="1"/>
        <v>0.84</v>
      </c>
    </row>
    <row r="39" spans="2:7" x14ac:dyDescent="0.3">
      <c r="B39" s="2" t="s">
        <v>3</v>
      </c>
      <c r="C39" s="3" t="s">
        <v>43</v>
      </c>
      <c r="D39" s="3">
        <v>30</v>
      </c>
      <c r="E39" s="3">
        <v>18</v>
      </c>
      <c r="F39" s="3">
        <f t="shared" si="0"/>
        <v>48</v>
      </c>
      <c r="G39" s="4">
        <f t="shared" si="1"/>
        <v>0.96</v>
      </c>
    </row>
    <row r="40" spans="2:7" x14ac:dyDescent="0.3">
      <c r="B40" s="2" t="s">
        <v>20</v>
      </c>
      <c r="C40" s="3" t="s">
        <v>60</v>
      </c>
      <c r="D40" s="3">
        <v>27</v>
      </c>
      <c r="E40" s="3">
        <v>12</v>
      </c>
      <c r="F40" s="3">
        <f t="shared" si="0"/>
        <v>39</v>
      </c>
      <c r="G40" s="4">
        <f t="shared" si="1"/>
        <v>0.78</v>
      </c>
    </row>
    <row r="41" spans="2:7" x14ac:dyDescent="0.3">
      <c r="B41" s="2" t="s">
        <v>11</v>
      </c>
      <c r="C41" s="3" t="s">
        <v>51</v>
      </c>
      <c r="D41" s="3">
        <v>29</v>
      </c>
      <c r="E41" s="3">
        <v>16</v>
      </c>
      <c r="F41" s="3">
        <f t="shared" si="0"/>
        <v>45</v>
      </c>
      <c r="G41" s="4">
        <f t="shared" si="1"/>
        <v>0.9</v>
      </c>
    </row>
    <row r="42" spans="2:7" x14ac:dyDescent="0.3">
      <c r="B42" s="2" t="s">
        <v>29</v>
      </c>
      <c r="C42" s="3" t="s">
        <v>69</v>
      </c>
      <c r="D42" s="3">
        <v>23</v>
      </c>
      <c r="E42" s="3">
        <v>14</v>
      </c>
      <c r="F42" s="3">
        <f t="shared" si="0"/>
        <v>37</v>
      </c>
      <c r="G42" s="4">
        <f t="shared" si="1"/>
        <v>0.74</v>
      </c>
    </row>
    <row r="43" spans="2:7" x14ac:dyDescent="0.3">
      <c r="B43" s="2" t="s">
        <v>86</v>
      </c>
      <c r="C43" s="3" t="s">
        <v>88</v>
      </c>
      <c r="D43" s="3">
        <v>27</v>
      </c>
      <c r="E43" s="3">
        <v>17</v>
      </c>
      <c r="F43" s="3">
        <f t="shared" si="0"/>
        <v>44</v>
      </c>
      <c r="G43" s="6">
        <f t="shared" si="1"/>
        <v>0.88</v>
      </c>
    </row>
    <row r="44" spans="2:7" x14ac:dyDescent="0.3">
      <c r="B44" s="2" t="s">
        <v>87</v>
      </c>
      <c r="C44" s="3" t="s">
        <v>89</v>
      </c>
      <c r="D44" s="3">
        <v>28</v>
      </c>
      <c r="E44" s="3">
        <v>13</v>
      </c>
      <c r="F44" s="3">
        <f t="shared" si="0"/>
        <v>41</v>
      </c>
      <c r="G44" s="6">
        <f t="shared" si="1"/>
        <v>0.82</v>
      </c>
    </row>
  </sheetData>
  <sortState xmlns:xlrd2="http://schemas.microsoft.com/office/spreadsheetml/2017/richdata2" ref="B4:E42">
    <sortCondition ref="B4:B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B990-D605-47FE-B5DF-76FFF1700895}">
  <dimension ref="B2:G43"/>
  <sheetViews>
    <sheetView workbookViewId="0">
      <selection activeCell="C2" sqref="C2"/>
    </sheetView>
  </sheetViews>
  <sheetFormatPr defaultRowHeight="14.4" x14ac:dyDescent="0.3"/>
  <cols>
    <col min="2" max="2" width="12" bestFit="1" customWidth="1"/>
    <col min="3" max="3" width="21.44140625" bestFit="1" customWidth="1"/>
    <col min="4" max="4" width="6.77734375" bestFit="1" customWidth="1"/>
    <col min="5" max="5" width="6.88671875" bestFit="1" customWidth="1"/>
    <col min="6" max="6" width="5.21875" bestFit="1" customWidth="1"/>
    <col min="7" max="7" width="8.6640625" bestFit="1" customWidth="1"/>
  </cols>
  <sheetData>
    <row r="2" spans="2:7" ht="57.6" x14ac:dyDescent="0.3">
      <c r="B2" s="1" t="s">
        <v>0</v>
      </c>
      <c r="C2" s="1" t="s">
        <v>40</v>
      </c>
      <c r="D2" s="5" t="s">
        <v>81</v>
      </c>
      <c r="E2" s="5" t="s">
        <v>82</v>
      </c>
      <c r="F2" s="1" t="s">
        <v>80</v>
      </c>
      <c r="G2" s="5" t="s">
        <v>83</v>
      </c>
    </row>
    <row r="3" spans="2:7" x14ac:dyDescent="0.3">
      <c r="B3" s="2" t="s">
        <v>39</v>
      </c>
      <c r="C3" s="3" t="s">
        <v>79</v>
      </c>
      <c r="D3">
        <v>29</v>
      </c>
      <c r="E3" s="3">
        <v>14</v>
      </c>
      <c r="F3" s="3">
        <f>D3+E3</f>
        <v>43</v>
      </c>
      <c r="G3" s="4">
        <f>F3/50</f>
        <v>0.86</v>
      </c>
    </row>
    <row r="4" spans="2:7" x14ac:dyDescent="0.3">
      <c r="B4" s="2" t="s">
        <v>32</v>
      </c>
      <c r="C4" s="3" t="s">
        <v>72</v>
      </c>
      <c r="D4">
        <v>27</v>
      </c>
      <c r="E4" s="3">
        <v>16</v>
      </c>
      <c r="F4" s="3">
        <f t="shared" ref="F4:F43" si="0">D4+E4</f>
        <v>43</v>
      </c>
      <c r="G4" s="4">
        <f t="shared" ref="G4:G43" si="1">F4/50</f>
        <v>0.86</v>
      </c>
    </row>
    <row r="5" spans="2:7" x14ac:dyDescent="0.3">
      <c r="B5" s="2" t="s">
        <v>27</v>
      </c>
      <c r="C5" s="3" t="s">
        <v>67</v>
      </c>
      <c r="D5">
        <v>25</v>
      </c>
      <c r="E5" s="3">
        <v>18</v>
      </c>
      <c r="F5" s="3">
        <f t="shared" si="0"/>
        <v>43</v>
      </c>
      <c r="G5" s="4">
        <f t="shared" si="1"/>
        <v>0.86</v>
      </c>
    </row>
    <row r="6" spans="2:7" x14ac:dyDescent="0.3">
      <c r="B6" s="2" t="s">
        <v>31</v>
      </c>
      <c r="C6" s="3" t="s">
        <v>71</v>
      </c>
      <c r="D6">
        <v>26</v>
      </c>
      <c r="E6" s="3">
        <v>16</v>
      </c>
      <c r="F6" s="3">
        <f t="shared" si="0"/>
        <v>42</v>
      </c>
      <c r="G6" s="4">
        <f t="shared" si="1"/>
        <v>0.84</v>
      </c>
    </row>
    <row r="7" spans="2:7" x14ac:dyDescent="0.3">
      <c r="B7" s="2" t="s">
        <v>33</v>
      </c>
      <c r="C7" s="3" t="s">
        <v>73</v>
      </c>
      <c r="D7">
        <v>28</v>
      </c>
      <c r="E7" s="3">
        <v>16</v>
      </c>
      <c r="F7" s="3">
        <f t="shared" si="0"/>
        <v>44</v>
      </c>
      <c r="G7" s="4">
        <f t="shared" si="1"/>
        <v>0.88</v>
      </c>
    </row>
    <row r="8" spans="2:7" x14ac:dyDescent="0.3">
      <c r="B8" s="2" t="s">
        <v>12</v>
      </c>
      <c r="C8" s="3" t="s">
        <v>52</v>
      </c>
      <c r="D8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56</v>
      </c>
      <c r="D9">
        <v>27</v>
      </c>
      <c r="E9" s="3">
        <v>18</v>
      </c>
      <c r="F9" s="3">
        <f t="shared" si="0"/>
        <v>45</v>
      </c>
      <c r="G9" s="4">
        <f t="shared" si="1"/>
        <v>0.9</v>
      </c>
    </row>
    <row r="10" spans="2:7" x14ac:dyDescent="0.3">
      <c r="B10" s="2" t="s">
        <v>19</v>
      </c>
      <c r="C10" s="3" t="s">
        <v>59</v>
      </c>
      <c r="D10">
        <v>27</v>
      </c>
      <c r="E10" s="3">
        <v>19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>
        <v>26</v>
      </c>
      <c r="E11" s="3">
        <v>19</v>
      </c>
      <c r="F11" s="3">
        <f t="shared" si="0"/>
        <v>45</v>
      </c>
      <c r="G11" s="4">
        <f t="shared" si="1"/>
        <v>0.9</v>
      </c>
    </row>
    <row r="12" spans="2:7" x14ac:dyDescent="0.3">
      <c r="B12" s="2" t="s">
        <v>6</v>
      </c>
      <c r="C12" s="3" t="s">
        <v>46</v>
      </c>
      <c r="D12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>
        <v>28</v>
      </c>
      <c r="E13" s="3">
        <v>17</v>
      </c>
      <c r="F13" s="3">
        <f t="shared" si="0"/>
        <v>45</v>
      </c>
      <c r="G13" s="4">
        <f t="shared" si="1"/>
        <v>0.9</v>
      </c>
    </row>
    <row r="14" spans="2:7" x14ac:dyDescent="0.3">
      <c r="B14" s="2" t="s">
        <v>21</v>
      </c>
      <c r="C14" s="3" t="s">
        <v>61</v>
      </c>
      <c r="D14">
        <v>26</v>
      </c>
      <c r="E14" s="3">
        <v>18</v>
      </c>
      <c r="F14" s="3">
        <f t="shared" si="0"/>
        <v>44</v>
      </c>
      <c r="G14" s="4">
        <f t="shared" si="1"/>
        <v>0.88</v>
      </c>
    </row>
    <row r="15" spans="2:7" x14ac:dyDescent="0.3">
      <c r="B15" s="2" t="s">
        <v>24</v>
      </c>
      <c r="C15" s="3" t="s">
        <v>64</v>
      </c>
      <c r="D15">
        <v>28</v>
      </c>
      <c r="E15" s="3">
        <v>19</v>
      </c>
      <c r="F15" s="3">
        <f t="shared" si="0"/>
        <v>47</v>
      </c>
      <c r="G15" s="4">
        <f t="shared" si="1"/>
        <v>0.94</v>
      </c>
    </row>
    <row r="16" spans="2:7" x14ac:dyDescent="0.3">
      <c r="B16" s="2" t="s">
        <v>10</v>
      </c>
      <c r="C16" s="3" t="s">
        <v>50</v>
      </c>
      <c r="D16">
        <v>26</v>
      </c>
      <c r="E16" s="3">
        <v>17</v>
      </c>
      <c r="F16" s="3">
        <f t="shared" si="0"/>
        <v>43</v>
      </c>
      <c r="G16" s="4">
        <f t="shared" si="1"/>
        <v>0.86</v>
      </c>
    </row>
    <row r="17" spans="2:7" x14ac:dyDescent="0.3">
      <c r="B17" s="2" t="s">
        <v>26</v>
      </c>
      <c r="C17" s="3" t="s">
        <v>66</v>
      </c>
      <c r="D17">
        <v>27</v>
      </c>
      <c r="E17" s="3">
        <v>16</v>
      </c>
      <c r="F17" s="3">
        <f t="shared" si="0"/>
        <v>43</v>
      </c>
      <c r="G17" s="4">
        <f t="shared" si="1"/>
        <v>0.86</v>
      </c>
    </row>
    <row r="18" spans="2:7" x14ac:dyDescent="0.3">
      <c r="B18" s="2" t="s">
        <v>28</v>
      </c>
      <c r="C18" s="3" t="s">
        <v>68</v>
      </c>
      <c r="D18">
        <v>25</v>
      </c>
      <c r="E18" s="3">
        <v>16</v>
      </c>
      <c r="F18" s="3">
        <f t="shared" si="0"/>
        <v>41</v>
      </c>
      <c r="G18" s="4">
        <f t="shared" si="1"/>
        <v>0.82</v>
      </c>
    </row>
    <row r="19" spans="2:7" x14ac:dyDescent="0.3">
      <c r="B19" s="2" t="s">
        <v>38</v>
      </c>
      <c r="C19" s="3" t="s">
        <v>78</v>
      </c>
      <c r="D19">
        <v>30</v>
      </c>
      <c r="E19" s="3">
        <v>19</v>
      </c>
      <c r="F19" s="3">
        <f t="shared" si="0"/>
        <v>49</v>
      </c>
      <c r="G19" s="4">
        <f t="shared" si="1"/>
        <v>0.98</v>
      </c>
    </row>
    <row r="20" spans="2:7" x14ac:dyDescent="0.3">
      <c r="B20" s="2" t="s">
        <v>37</v>
      </c>
      <c r="C20" s="3" t="s">
        <v>77</v>
      </c>
      <c r="D20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>
        <v>30</v>
      </c>
      <c r="E21" s="3">
        <v>19</v>
      </c>
      <c r="F21" s="3">
        <f t="shared" si="0"/>
        <v>49</v>
      </c>
      <c r="G21" s="4">
        <f t="shared" si="1"/>
        <v>0.98</v>
      </c>
    </row>
    <row r="22" spans="2:7" x14ac:dyDescent="0.3">
      <c r="B22" s="2" t="s">
        <v>1</v>
      </c>
      <c r="C22" s="3" t="s">
        <v>41</v>
      </c>
      <c r="D22">
        <v>26</v>
      </c>
      <c r="E22" s="3">
        <v>18</v>
      </c>
      <c r="F22" s="3">
        <f t="shared" si="0"/>
        <v>44</v>
      </c>
      <c r="G22" s="4">
        <f t="shared" si="1"/>
        <v>0.88</v>
      </c>
    </row>
    <row r="23" spans="2:7" x14ac:dyDescent="0.3">
      <c r="B23" s="2" t="s">
        <v>2</v>
      </c>
      <c r="C23" s="3" t="s">
        <v>42</v>
      </c>
      <c r="D23">
        <v>27</v>
      </c>
      <c r="E23" s="3">
        <v>17</v>
      </c>
      <c r="F23" s="3">
        <f t="shared" si="0"/>
        <v>44</v>
      </c>
      <c r="G23" s="4">
        <f t="shared" si="1"/>
        <v>0.88</v>
      </c>
    </row>
    <row r="24" spans="2:7" x14ac:dyDescent="0.3">
      <c r="B24" s="2" t="s">
        <v>36</v>
      </c>
      <c r="C24" s="3" t="s">
        <v>76</v>
      </c>
      <c r="D24">
        <v>26</v>
      </c>
      <c r="E24" s="3">
        <v>17</v>
      </c>
      <c r="F24" s="3">
        <f t="shared" si="0"/>
        <v>43</v>
      </c>
      <c r="G24" s="4">
        <f t="shared" si="1"/>
        <v>0.86</v>
      </c>
    </row>
    <row r="25" spans="2:7" x14ac:dyDescent="0.3">
      <c r="B25" s="2" t="s">
        <v>14</v>
      </c>
      <c r="C25" s="3" t="s">
        <v>54</v>
      </c>
      <c r="D25">
        <v>27</v>
      </c>
      <c r="E25" s="3">
        <v>18</v>
      </c>
      <c r="F25" s="3">
        <f t="shared" si="0"/>
        <v>45</v>
      </c>
      <c r="G25" s="4">
        <f t="shared" si="1"/>
        <v>0.9</v>
      </c>
    </row>
    <row r="26" spans="2:7" x14ac:dyDescent="0.3">
      <c r="B26" s="2" t="s">
        <v>8</v>
      </c>
      <c r="C26" s="3" t="s">
        <v>48</v>
      </c>
      <c r="D26">
        <v>25</v>
      </c>
      <c r="E26" s="3">
        <v>15</v>
      </c>
      <c r="F26" s="3">
        <f t="shared" si="0"/>
        <v>40</v>
      </c>
      <c r="G26" s="4">
        <f t="shared" si="1"/>
        <v>0.8</v>
      </c>
    </row>
    <row r="27" spans="2:7" x14ac:dyDescent="0.3">
      <c r="B27" s="2" t="s">
        <v>4</v>
      </c>
      <c r="C27" s="3" t="s">
        <v>44</v>
      </c>
      <c r="D27">
        <v>27</v>
      </c>
      <c r="E27" s="3">
        <v>18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>
        <v>25</v>
      </c>
      <c r="E28" s="3">
        <v>20</v>
      </c>
      <c r="F28" s="3">
        <f t="shared" si="0"/>
        <v>45</v>
      </c>
      <c r="G28" s="4">
        <f t="shared" si="1"/>
        <v>0.9</v>
      </c>
    </row>
    <row r="29" spans="2:7" x14ac:dyDescent="0.3">
      <c r="B29" s="2" t="s">
        <v>34</v>
      </c>
      <c r="C29" s="3" t="s">
        <v>74</v>
      </c>
      <c r="D29">
        <v>27</v>
      </c>
      <c r="E29" s="3">
        <v>18</v>
      </c>
      <c r="F29" s="3">
        <f t="shared" si="0"/>
        <v>45</v>
      </c>
      <c r="G29" s="4">
        <f t="shared" si="1"/>
        <v>0.9</v>
      </c>
    </row>
    <row r="30" spans="2:7" x14ac:dyDescent="0.3">
      <c r="B30" s="2" t="s">
        <v>5</v>
      </c>
      <c r="C30" s="3" t="s">
        <v>45</v>
      </c>
      <c r="D30">
        <v>27</v>
      </c>
      <c r="E30" s="3">
        <v>15</v>
      </c>
      <c r="F30" s="3">
        <f t="shared" si="0"/>
        <v>42</v>
      </c>
      <c r="G30" s="4">
        <f t="shared" si="1"/>
        <v>0.84</v>
      </c>
    </row>
    <row r="31" spans="2:7" x14ac:dyDescent="0.3">
      <c r="B31" s="2" t="s">
        <v>15</v>
      </c>
      <c r="C31" s="3" t="s">
        <v>55</v>
      </c>
      <c r="D31">
        <v>26</v>
      </c>
      <c r="E31" s="3">
        <v>16</v>
      </c>
      <c r="F31" s="3">
        <f t="shared" si="0"/>
        <v>42</v>
      </c>
      <c r="G31" s="4">
        <f t="shared" si="1"/>
        <v>0.84</v>
      </c>
    </row>
    <row r="32" spans="2:7" x14ac:dyDescent="0.3">
      <c r="B32" s="2" t="s">
        <v>23</v>
      </c>
      <c r="C32" s="3" t="s">
        <v>63</v>
      </c>
      <c r="D32">
        <v>29</v>
      </c>
      <c r="E32" s="3">
        <v>14</v>
      </c>
      <c r="F32" s="3">
        <f t="shared" si="0"/>
        <v>43</v>
      </c>
      <c r="G32" s="4">
        <f t="shared" si="1"/>
        <v>0.86</v>
      </c>
    </row>
    <row r="33" spans="2:7" x14ac:dyDescent="0.3">
      <c r="B33" s="2" t="s">
        <v>22</v>
      </c>
      <c r="C33" s="3" t="s">
        <v>62</v>
      </c>
      <c r="D33">
        <v>28</v>
      </c>
      <c r="E33" s="3">
        <v>16</v>
      </c>
      <c r="F33" s="3">
        <f t="shared" si="0"/>
        <v>44</v>
      </c>
      <c r="G33" s="4">
        <f t="shared" si="1"/>
        <v>0.88</v>
      </c>
    </row>
    <row r="34" spans="2:7" x14ac:dyDescent="0.3">
      <c r="B34" s="2" t="s">
        <v>13</v>
      </c>
      <c r="C34" s="3" t="s">
        <v>53</v>
      </c>
      <c r="D34">
        <v>28</v>
      </c>
      <c r="E34" s="3">
        <v>19</v>
      </c>
      <c r="F34" s="3">
        <f t="shared" si="0"/>
        <v>47</v>
      </c>
      <c r="G34" s="4">
        <f t="shared" si="1"/>
        <v>0.94</v>
      </c>
    </row>
    <row r="35" spans="2:7" x14ac:dyDescent="0.3">
      <c r="B35" s="2" t="s">
        <v>30</v>
      </c>
      <c r="C35" s="3" t="s">
        <v>70</v>
      </c>
      <c r="D35">
        <v>27</v>
      </c>
      <c r="E35" s="3">
        <v>18</v>
      </c>
      <c r="F35" s="3">
        <f t="shared" si="0"/>
        <v>45</v>
      </c>
      <c r="G35" s="4">
        <f t="shared" si="1"/>
        <v>0.9</v>
      </c>
    </row>
    <row r="36" spans="2:7" x14ac:dyDescent="0.3">
      <c r="B36" s="2" t="s">
        <v>18</v>
      </c>
      <c r="C36" s="3" t="s">
        <v>58</v>
      </c>
      <c r="D36">
        <v>27</v>
      </c>
      <c r="E36" s="3">
        <v>18</v>
      </c>
      <c r="F36" s="3">
        <f t="shared" si="0"/>
        <v>45</v>
      </c>
      <c r="G36" s="4">
        <f t="shared" si="1"/>
        <v>0.9</v>
      </c>
    </row>
    <row r="37" spans="2:7" x14ac:dyDescent="0.3">
      <c r="B37" s="2" t="s">
        <v>17</v>
      </c>
      <c r="C37" s="3" t="s">
        <v>57</v>
      </c>
      <c r="D37">
        <v>28</v>
      </c>
      <c r="E37" s="3">
        <v>18</v>
      </c>
      <c r="F37" s="3">
        <f t="shared" si="0"/>
        <v>46</v>
      </c>
      <c r="G37" s="4">
        <f t="shared" si="1"/>
        <v>0.92</v>
      </c>
    </row>
    <row r="38" spans="2:7" x14ac:dyDescent="0.3">
      <c r="B38" s="2" t="s">
        <v>3</v>
      </c>
      <c r="C38" s="3" t="s">
        <v>43</v>
      </c>
      <c r="D38">
        <v>28</v>
      </c>
      <c r="E38" s="3">
        <v>19</v>
      </c>
      <c r="F38" s="3">
        <f t="shared" si="0"/>
        <v>47</v>
      </c>
      <c r="G38" s="4">
        <f t="shared" si="1"/>
        <v>0.94</v>
      </c>
    </row>
    <row r="39" spans="2:7" x14ac:dyDescent="0.3">
      <c r="B39" s="2" t="s">
        <v>20</v>
      </c>
      <c r="C39" s="3" t="s">
        <v>60</v>
      </c>
      <c r="D39">
        <v>28</v>
      </c>
      <c r="E39" s="3">
        <v>15</v>
      </c>
      <c r="F39" s="3">
        <f t="shared" si="0"/>
        <v>43</v>
      </c>
      <c r="G39" s="4">
        <f t="shared" si="1"/>
        <v>0.86</v>
      </c>
    </row>
    <row r="40" spans="2:7" x14ac:dyDescent="0.3">
      <c r="B40" s="2" t="s">
        <v>11</v>
      </c>
      <c r="C40" s="3" t="s">
        <v>51</v>
      </c>
      <c r="D40">
        <v>27</v>
      </c>
      <c r="E40" s="3">
        <v>19</v>
      </c>
      <c r="F40" s="3">
        <f t="shared" si="0"/>
        <v>46</v>
      </c>
      <c r="G40" s="4">
        <f t="shared" si="1"/>
        <v>0.92</v>
      </c>
    </row>
    <row r="41" spans="2:7" x14ac:dyDescent="0.3">
      <c r="B41" s="7" t="s">
        <v>29</v>
      </c>
      <c r="C41" s="8" t="s">
        <v>69</v>
      </c>
      <c r="D41">
        <v>27</v>
      </c>
      <c r="E41" s="8">
        <v>15</v>
      </c>
      <c r="F41" s="8">
        <f t="shared" si="0"/>
        <v>42</v>
      </c>
      <c r="G41" s="9">
        <f t="shared" si="1"/>
        <v>0.84</v>
      </c>
    </row>
    <row r="42" spans="2:7" x14ac:dyDescent="0.3">
      <c r="B42" s="2" t="s">
        <v>86</v>
      </c>
      <c r="C42" s="3" t="s">
        <v>88</v>
      </c>
      <c r="D42" s="3">
        <v>26</v>
      </c>
      <c r="E42" s="3">
        <v>15</v>
      </c>
      <c r="F42" s="3">
        <f t="shared" si="0"/>
        <v>41</v>
      </c>
      <c r="G42" s="6">
        <f t="shared" si="1"/>
        <v>0.82</v>
      </c>
    </row>
    <row r="43" spans="2:7" x14ac:dyDescent="0.3">
      <c r="B43" s="2" t="s">
        <v>87</v>
      </c>
      <c r="C43" s="3" t="s">
        <v>89</v>
      </c>
      <c r="D43" s="3">
        <v>27</v>
      </c>
      <c r="E43" s="3">
        <v>15</v>
      </c>
      <c r="F43" s="3">
        <f t="shared" si="0"/>
        <v>42</v>
      </c>
      <c r="G43" s="6">
        <f t="shared" si="1"/>
        <v>0.84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AF52D-6C58-4CC2-BF95-73A4DEB8C0BA}">
  <dimension ref="B2:G43"/>
  <sheetViews>
    <sheetView workbookViewId="0">
      <selection activeCell="C1" sqref="C1"/>
    </sheetView>
  </sheetViews>
  <sheetFormatPr defaultRowHeight="14.4" x14ac:dyDescent="0.3"/>
  <cols>
    <col min="2" max="2" width="9" bestFit="1" customWidth="1"/>
    <col min="3" max="3" width="22.33203125" bestFit="1" customWidth="1"/>
    <col min="4" max="4" width="14.6640625" bestFit="1" customWidth="1"/>
    <col min="5" max="5" width="16.33203125" bestFit="1" customWidth="1"/>
    <col min="6" max="6" width="10.5546875" bestFit="1" customWidth="1"/>
    <col min="7" max="7" width="10" bestFit="1" customWidth="1"/>
  </cols>
  <sheetData>
    <row r="2" spans="2:7" x14ac:dyDescent="0.3">
      <c r="B2" s="10" t="s">
        <v>100</v>
      </c>
      <c r="C2" s="10" t="s">
        <v>101</v>
      </c>
      <c r="D2" s="10" t="s">
        <v>96</v>
      </c>
      <c r="E2" s="10" t="s">
        <v>97</v>
      </c>
      <c r="F2" s="10" t="s">
        <v>98</v>
      </c>
      <c r="G2" s="10" t="s">
        <v>99</v>
      </c>
    </row>
    <row r="3" spans="2:7" x14ac:dyDescent="0.3">
      <c r="B3" s="2" t="s">
        <v>39</v>
      </c>
      <c r="C3" s="3" t="s">
        <v>79</v>
      </c>
      <c r="D3" s="3">
        <v>27</v>
      </c>
      <c r="E3" s="3">
        <v>20</v>
      </c>
      <c r="F3" s="3">
        <f t="shared" ref="F3:F43" si="0">D3+E3</f>
        <v>47</v>
      </c>
      <c r="G3" s="4">
        <f t="shared" ref="G3:G43" si="1">F3/50</f>
        <v>0.94</v>
      </c>
    </row>
    <row r="4" spans="2:7" x14ac:dyDescent="0.3">
      <c r="B4" s="2" t="s">
        <v>32</v>
      </c>
      <c r="C4" s="3" t="s">
        <v>95</v>
      </c>
      <c r="D4" s="3">
        <v>28</v>
      </c>
      <c r="E4" s="3">
        <v>16</v>
      </c>
      <c r="F4" s="3">
        <f t="shared" si="0"/>
        <v>44</v>
      </c>
      <c r="G4" s="4">
        <f t="shared" si="1"/>
        <v>0.88</v>
      </c>
    </row>
    <row r="5" spans="2:7" x14ac:dyDescent="0.3">
      <c r="B5" s="2" t="s">
        <v>27</v>
      </c>
      <c r="C5" s="3" t="s">
        <v>90</v>
      </c>
      <c r="D5" s="3">
        <v>28</v>
      </c>
      <c r="E5" s="3">
        <v>20</v>
      </c>
      <c r="F5" s="3">
        <f t="shared" si="0"/>
        <v>48</v>
      </c>
      <c r="G5" s="4">
        <f t="shared" si="1"/>
        <v>0.96</v>
      </c>
    </row>
    <row r="6" spans="2:7" x14ac:dyDescent="0.3">
      <c r="B6" s="2" t="s">
        <v>31</v>
      </c>
      <c r="C6" s="3" t="s">
        <v>94</v>
      </c>
      <c r="D6" s="3">
        <v>25</v>
      </c>
      <c r="E6" s="3">
        <v>19</v>
      </c>
      <c r="F6" s="3">
        <f t="shared" si="0"/>
        <v>44</v>
      </c>
      <c r="G6" s="4">
        <f t="shared" si="1"/>
        <v>0.88</v>
      </c>
    </row>
    <row r="7" spans="2:7" x14ac:dyDescent="0.3">
      <c r="B7" s="2" t="s">
        <v>33</v>
      </c>
      <c r="C7" s="3" t="s">
        <v>92</v>
      </c>
      <c r="D7" s="3">
        <v>29</v>
      </c>
      <c r="E7" s="3">
        <v>20</v>
      </c>
      <c r="F7" s="3">
        <f t="shared" si="0"/>
        <v>49</v>
      </c>
      <c r="G7" s="4">
        <f t="shared" si="1"/>
        <v>0.98</v>
      </c>
    </row>
    <row r="8" spans="2:7" x14ac:dyDescent="0.3">
      <c r="B8" s="2" t="s">
        <v>12</v>
      </c>
      <c r="C8" s="3" t="s">
        <v>52</v>
      </c>
      <c r="D8" s="3">
        <v>26</v>
      </c>
      <c r="E8" s="3">
        <v>16</v>
      </c>
      <c r="F8" s="3">
        <f t="shared" si="0"/>
        <v>42</v>
      </c>
      <c r="G8" s="4">
        <f t="shared" si="1"/>
        <v>0.84</v>
      </c>
    </row>
    <row r="9" spans="2:7" x14ac:dyDescent="0.3">
      <c r="B9" s="2" t="s">
        <v>16</v>
      </c>
      <c r="C9" s="3" t="s">
        <v>91</v>
      </c>
      <c r="D9" s="3">
        <v>29</v>
      </c>
      <c r="E9" s="3">
        <v>19</v>
      </c>
      <c r="F9" s="3">
        <f t="shared" si="0"/>
        <v>48</v>
      </c>
      <c r="G9" s="4">
        <f t="shared" si="1"/>
        <v>0.96</v>
      </c>
    </row>
    <row r="10" spans="2:7" x14ac:dyDescent="0.3">
      <c r="B10" s="2" t="s">
        <v>19</v>
      </c>
      <c r="C10" s="3" t="s">
        <v>59</v>
      </c>
      <c r="D10" s="3">
        <v>28</v>
      </c>
      <c r="E10" s="3">
        <v>18</v>
      </c>
      <c r="F10" s="3">
        <f t="shared" si="0"/>
        <v>46</v>
      </c>
      <c r="G10" s="4">
        <f t="shared" si="1"/>
        <v>0.92</v>
      </c>
    </row>
    <row r="11" spans="2:7" x14ac:dyDescent="0.3">
      <c r="B11" s="2" t="s">
        <v>7</v>
      </c>
      <c r="C11" s="3" t="s">
        <v>47</v>
      </c>
      <c r="D11" s="3">
        <v>25</v>
      </c>
      <c r="E11" s="3">
        <v>17</v>
      </c>
      <c r="F11" s="3">
        <f t="shared" si="0"/>
        <v>42</v>
      </c>
      <c r="G11" s="4">
        <f t="shared" si="1"/>
        <v>0.84</v>
      </c>
    </row>
    <row r="12" spans="2:7" x14ac:dyDescent="0.3">
      <c r="B12" s="2" t="s">
        <v>6</v>
      </c>
      <c r="C12" s="3" t="s">
        <v>46</v>
      </c>
      <c r="D12" s="3">
        <v>28</v>
      </c>
      <c r="E12" s="3">
        <v>17</v>
      </c>
      <c r="F12" s="3">
        <f t="shared" si="0"/>
        <v>45</v>
      </c>
      <c r="G12" s="4">
        <f t="shared" si="1"/>
        <v>0.9</v>
      </c>
    </row>
    <row r="13" spans="2:7" x14ac:dyDescent="0.3">
      <c r="B13" s="2" t="s">
        <v>25</v>
      </c>
      <c r="C13" s="3" t="s">
        <v>65</v>
      </c>
      <c r="D13" s="3">
        <v>29</v>
      </c>
      <c r="E13" s="3">
        <v>20</v>
      </c>
      <c r="F13" s="3">
        <f t="shared" si="0"/>
        <v>49</v>
      </c>
      <c r="G13" s="4">
        <f t="shared" si="1"/>
        <v>0.98</v>
      </c>
    </row>
    <row r="14" spans="2:7" x14ac:dyDescent="0.3">
      <c r="B14" s="2" t="s">
        <v>21</v>
      </c>
      <c r="C14" s="3" t="s">
        <v>61</v>
      </c>
      <c r="D14" s="3">
        <v>28</v>
      </c>
      <c r="E14" s="3">
        <v>17</v>
      </c>
      <c r="F14" s="3">
        <f t="shared" si="0"/>
        <v>45</v>
      </c>
      <c r="G14" s="4">
        <f t="shared" si="1"/>
        <v>0.9</v>
      </c>
    </row>
    <row r="15" spans="2:7" x14ac:dyDescent="0.3">
      <c r="B15" s="2" t="s">
        <v>24</v>
      </c>
      <c r="C15" s="3" t="s">
        <v>64</v>
      </c>
      <c r="D15" s="3">
        <v>29</v>
      </c>
      <c r="E15" s="3">
        <v>17</v>
      </c>
      <c r="F15" s="3">
        <f t="shared" si="0"/>
        <v>46</v>
      </c>
      <c r="G15" s="4">
        <f t="shared" si="1"/>
        <v>0.92</v>
      </c>
    </row>
    <row r="16" spans="2:7" x14ac:dyDescent="0.3">
      <c r="B16" s="2" t="s">
        <v>10</v>
      </c>
      <c r="C16" s="3" t="s">
        <v>50</v>
      </c>
      <c r="D16" s="3">
        <v>27</v>
      </c>
      <c r="E16" s="3">
        <v>19</v>
      </c>
      <c r="F16" s="3">
        <f t="shared" si="0"/>
        <v>46</v>
      </c>
      <c r="G16" s="4">
        <f t="shared" si="1"/>
        <v>0.92</v>
      </c>
    </row>
    <row r="17" spans="2:7" x14ac:dyDescent="0.3">
      <c r="B17" s="2" t="s">
        <v>26</v>
      </c>
      <c r="C17" s="3" t="s">
        <v>66</v>
      </c>
      <c r="D17" s="3">
        <v>25</v>
      </c>
      <c r="E17" s="3">
        <v>19</v>
      </c>
      <c r="F17" s="3">
        <f t="shared" si="0"/>
        <v>44</v>
      </c>
      <c r="G17" s="4">
        <f t="shared" si="1"/>
        <v>0.88</v>
      </c>
    </row>
    <row r="18" spans="2:7" x14ac:dyDescent="0.3">
      <c r="B18" s="2" t="s">
        <v>28</v>
      </c>
      <c r="C18" s="3" t="s">
        <v>68</v>
      </c>
      <c r="D18" s="3">
        <v>29</v>
      </c>
      <c r="E18" s="3">
        <v>20</v>
      </c>
      <c r="F18" s="3">
        <f t="shared" si="0"/>
        <v>49</v>
      </c>
      <c r="G18" s="4">
        <f t="shared" si="1"/>
        <v>0.98</v>
      </c>
    </row>
    <row r="19" spans="2:7" x14ac:dyDescent="0.3">
      <c r="B19" s="2" t="s">
        <v>38</v>
      </c>
      <c r="C19" s="3" t="s">
        <v>78</v>
      </c>
      <c r="D19" s="3">
        <v>26</v>
      </c>
      <c r="E19" s="3">
        <v>15</v>
      </c>
      <c r="F19" s="3">
        <f t="shared" si="0"/>
        <v>41</v>
      </c>
      <c r="G19" s="4">
        <f t="shared" si="1"/>
        <v>0.82</v>
      </c>
    </row>
    <row r="20" spans="2:7" x14ac:dyDescent="0.3">
      <c r="B20" s="2" t="s">
        <v>37</v>
      </c>
      <c r="C20" s="3" t="s">
        <v>77</v>
      </c>
      <c r="D20" s="3">
        <v>26</v>
      </c>
      <c r="E20" s="3">
        <v>17</v>
      </c>
      <c r="F20" s="3">
        <f t="shared" si="0"/>
        <v>43</v>
      </c>
      <c r="G20" s="4">
        <f t="shared" si="1"/>
        <v>0.86</v>
      </c>
    </row>
    <row r="21" spans="2:7" x14ac:dyDescent="0.3">
      <c r="B21" s="2" t="s">
        <v>9</v>
      </c>
      <c r="C21" s="3" t="s">
        <v>49</v>
      </c>
      <c r="D21" s="3">
        <v>27</v>
      </c>
      <c r="E21" s="3">
        <v>14</v>
      </c>
      <c r="F21" s="3">
        <f t="shared" si="0"/>
        <v>41</v>
      </c>
      <c r="G21" s="4">
        <f t="shared" si="1"/>
        <v>0.82</v>
      </c>
    </row>
    <row r="22" spans="2:7" x14ac:dyDescent="0.3">
      <c r="B22" s="2" t="s">
        <v>1</v>
      </c>
      <c r="C22" s="3" t="s">
        <v>41</v>
      </c>
      <c r="D22" s="3">
        <v>27</v>
      </c>
      <c r="E22" s="3">
        <v>13</v>
      </c>
      <c r="F22" s="3">
        <f t="shared" si="0"/>
        <v>40</v>
      </c>
      <c r="G22" s="4">
        <f t="shared" si="1"/>
        <v>0.8</v>
      </c>
    </row>
    <row r="23" spans="2:7" x14ac:dyDescent="0.3">
      <c r="B23" s="2" t="s">
        <v>2</v>
      </c>
      <c r="C23" s="3" t="s">
        <v>42</v>
      </c>
      <c r="D23" s="3">
        <v>28</v>
      </c>
      <c r="E23" s="3">
        <v>19</v>
      </c>
      <c r="F23" s="3">
        <f t="shared" si="0"/>
        <v>47</v>
      </c>
      <c r="G23" s="4">
        <f t="shared" si="1"/>
        <v>0.94</v>
      </c>
    </row>
    <row r="24" spans="2:7" x14ac:dyDescent="0.3">
      <c r="B24" s="2" t="s">
        <v>36</v>
      </c>
      <c r="C24" s="3" t="s">
        <v>76</v>
      </c>
      <c r="D24" s="3">
        <v>25</v>
      </c>
      <c r="E24" s="3">
        <v>17</v>
      </c>
      <c r="F24" s="3">
        <f t="shared" si="0"/>
        <v>42</v>
      </c>
      <c r="G24" s="4">
        <f t="shared" si="1"/>
        <v>0.84</v>
      </c>
    </row>
    <row r="25" spans="2:7" x14ac:dyDescent="0.3">
      <c r="B25" s="2" t="s">
        <v>14</v>
      </c>
      <c r="C25" s="3" t="s">
        <v>54</v>
      </c>
      <c r="D25" s="3">
        <v>27</v>
      </c>
      <c r="E25" s="3">
        <v>14</v>
      </c>
      <c r="F25" s="3">
        <f t="shared" si="0"/>
        <v>41</v>
      </c>
      <c r="G25" s="4">
        <f t="shared" si="1"/>
        <v>0.82</v>
      </c>
    </row>
    <row r="26" spans="2:7" x14ac:dyDescent="0.3">
      <c r="B26" s="2" t="s">
        <v>8</v>
      </c>
      <c r="C26" s="3" t="s">
        <v>48</v>
      </c>
      <c r="D26" s="3">
        <v>27</v>
      </c>
      <c r="E26" s="3">
        <v>16</v>
      </c>
      <c r="F26" s="3">
        <f t="shared" si="0"/>
        <v>43</v>
      </c>
      <c r="G26" s="4">
        <f t="shared" si="1"/>
        <v>0.86</v>
      </c>
    </row>
    <row r="27" spans="2:7" x14ac:dyDescent="0.3">
      <c r="B27" s="2" t="s">
        <v>4</v>
      </c>
      <c r="C27" s="3" t="s">
        <v>44</v>
      </c>
      <c r="D27" s="3">
        <v>28</v>
      </c>
      <c r="E27" s="3">
        <v>17</v>
      </c>
      <c r="F27" s="3">
        <f t="shared" si="0"/>
        <v>45</v>
      </c>
      <c r="G27" s="4">
        <f t="shared" si="1"/>
        <v>0.9</v>
      </c>
    </row>
    <row r="28" spans="2:7" x14ac:dyDescent="0.3">
      <c r="B28" s="2" t="s">
        <v>35</v>
      </c>
      <c r="C28" s="3" t="s">
        <v>75</v>
      </c>
      <c r="D28" s="3">
        <v>26</v>
      </c>
      <c r="E28" s="3">
        <v>20</v>
      </c>
      <c r="F28" s="3">
        <f t="shared" si="0"/>
        <v>46</v>
      </c>
      <c r="G28" s="4">
        <f t="shared" si="1"/>
        <v>0.92</v>
      </c>
    </row>
    <row r="29" spans="2:7" x14ac:dyDescent="0.3">
      <c r="B29" s="2" t="s">
        <v>34</v>
      </c>
      <c r="C29" s="3" t="s">
        <v>74</v>
      </c>
      <c r="D29" s="3">
        <v>26</v>
      </c>
      <c r="E29" s="3">
        <v>20</v>
      </c>
      <c r="F29" s="3">
        <f t="shared" si="0"/>
        <v>46</v>
      </c>
      <c r="G29" s="4">
        <f t="shared" si="1"/>
        <v>0.92</v>
      </c>
    </row>
    <row r="30" spans="2:7" x14ac:dyDescent="0.3">
      <c r="B30" s="2" t="s">
        <v>5</v>
      </c>
      <c r="C30" s="3" t="s">
        <v>45</v>
      </c>
      <c r="D30" s="3">
        <v>29</v>
      </c>
      <c r="E30" s="3">
        <v>16</v>
      </c>
      <c r="F30" s="3">
        <f t="shared" si="0"/>
        <v>45</v>
      </c>
      <c r="G30" s="4">
        <f t="shared" si="1"/>
        <v>0.9</v>
      </c>
    </row>
    <row r="31" spans="2:7" x14ac:dyDescent="0.3">
      <c r="B31" s="2" t="s">
        <v>15</v>
      </c>
      <c r="C31" s="3" t="s">
        <v>55</v>
      </c>
      <c r="D31" s="3">
        <v>30</v>
      </c>
      <c r="E31" s="3">
        <v>19</v>
      </c>
      <c r="F31" s="3">
        <f t="shared" si="0"/>
        <v>49</v>
      </c>
      <c r="G31" s="4">
        <f t="shared" si="1"/>
        <v>0.98</v>
      </c>
    </row>
    <row r="32" spans="2:7" x14ac:dyDescent="0.3">
      <c r="B32" s="2" t="s">
        <v>23</v>
      </c>
      <c r="C32" s="3" t="s">
        <v>63</v>
      </c>
      <c r="D32" s="3">
        <v>25</v>
      </c>
      <c r="E32" s="3">
        <v>17</v>
      </c>
      <c r="F32" s="3">
        <f t="shared" si="0"/>
        <v>42</v>
      </c>
      <c r="G32" s="4">
        <f t="shared" si="1"/>
        <v>0.84</v>
      </c>
    </row>
    <row r="33" spans="2:7" x14ac:dyDescent="0.3">
      <c r="B33" s="2" t="s">
        <v>22</v>
      </c>
      <c r="C33" s="3" t="s">
        <v>62</v>
      </c>
      <c r="D33" s="3">
        <v>28</v>
      </c>
      <c r="E33" s="3">
        <v>20</v>
      </c>
      <c r="F33" s="3">
        <f t="shared" si="0"/>
        <v>48</v>
      </c>
      <c r="G33" s="4">
        <f t="shared" si="1"/>
        <v>0.96</v>
      </c>
    </row>
    <row r="34" spans="2:7" x14ac:dyDescent="0.3">
      <c r="B34" s="2" t="s">
        <v>13</v>
      </c>
      <c r="C34" s="3" t="s">
        <v>53</v>
      </c>
      <c r="D34" s="3">
        <v>27</v>
      </c>
      <c r="E34" s="3">
        <v>19</v>
      </c>
      <c r="F34" s="3">
        <f t="shared" si="0"/>
        <v>46</v>
      </c>
      <c r="G34" s="4">
        <f t="shared" si="1"/>
        <v>0.92</v>
      </c>
    </row>
    <row r="35" spans="2:7" x14ac:dyDescent="0.3">
      <c r="B35" s="2" t="s">
        <v>30</v>
      </c>
      <c r="C35" s="3" t="s">
        <v>70</v>
      </c>
      <c r="D35" s="3">
        <v>27</v>
      </c>
      <c r="E35" s="3">
        <v>20</v>
      </c>
      <c r="F35" s="3">
        <f t="shared" si="0"/>
        <v>47</v>
      </c>
      <c r="G35" s="4">
        <f t="shared" si="1"/>
        <v>0.94</v>
      </c>
    </row>
    <row r="36" spans="2:7" x14ac:dyDescent="0.3">
      <c r="B36" s="2" t="s">
        <v>18</v>
      </c>
      <c r="C36" s="3" t="s">
        <v>58</v>
      </c>
      <c r="D36" s="3">
        <v>28</v>
      </c>
      <c r="E36" s="3">
        <v>18</v>
      </c>
      <c r="F36" s="3">
        <f t="shared" si="0"/>
        <v>46</v>
      </c>
      <c r="G36" s="4">
        <f t="shared" si="1"/>
        <v>0.92</v>
      </c>
    </row>
    <row r="37" spans="2:7" x14ac:dyDescent="0.3">
      <c r="B37" s="2" t="s">
        <v>17</v>
      </c>
      <c r="C37" s="3" t="s">
        <v>57</v>
      </c>
      <c r="D37" s="3">
        <v>28</v>
      </c>
      <c r="E37" s="3">
        <v>19</v>
      </c>
      <c r="F37" s="3">
        <f t="shared" si="0"/>
        <v>47</v>
      </c>
      <c r="G37" s="4">
        <f t="shared" si="1"/>
        <v>0.94</v>
      </c>
    </row>
    <row r="38" spans="2:7" x14ac:dyDescent="0.3">
      <c r="B38" s="2" t="s">
        <v>3</v>
      </c>
      <c r="C38" s="3" t="s">
        <v>43</v>
      </c>
      <c r="D38" s="3">
        <v>29</v>
      </c>
      <c r="E38" s="3">
        <v>19</v>
      </c>
      <c r="F38" s="3">
        <f t="shared" si="0"/>
        <v>48</v>
      </c>
      <c r="G38" s="4">
        <f t="shared" si="1"/>
        <v>0.96</v>
      </c>
    </row>
    <row r="39" spans="2:7" x14ac:dyDescent="0.3">
      <c r="B39" s="2" t="s">
        <v>20</v>
      </c>
      <c r="C39" s="3" t="s">
        <v>60</v>
      </c>
      <c r="D39" s="3">
        <v>27</v>
      </c>
      <c r="E39" s="3">
        <v>18</v>
      </c>
      <c r="F39" s="3">
        <f t="shared" si="0"/>
        <v>45</v>
      </c>
      <c r="G39" s="4">
        <f t="shared" si="1"/>
        <v>0.9</v>
      </c>
    </row>
    <row r="40" spans="2:7" x14ac:dyDescent="0.3">
      <c r="B40" s="2" t="s">
        <v>11</v>
      </c>
      <c r="C40" s="3" t="s">
        <v>51</v>
      </c>
      <c r="D40" s="3">
        <v>28</v>
      </c>
      <c r="E40" s="3">
        <v>19</v>
      </c>
      <c r="F40" s="3">
        <f t="shared" si="0"/>
        <v>47</v>
      </c>
      <c r="G40" s="4">
        <f t="shared" si="1"/>
        <v>0.94</v>
      </c>
    </row>
    <row r="41" spans="2:7" x14ac:dyDescent="0.3">
      <c r="B41" s="2" t="s">
        <v>29</v>
      </c>
      <c r="C41" s="3" t="s">
        <v>93</v>
      </c>
      <c r="D41" s="3">
        <v>29</v>
      </c>
      <c r="E41" s="3">
        <v>20</v>
      </c>
      <c r="F41" s="3">
        <f t="shared" si="0"/>
        <v>49</v>
      </c>
      <c r="G41" s="4">
        <f t="shared" si="1"/>
        <v>0.98</v>
      </c>
    </row>
    <row r="42" spans="2:7" x14ac:dyDescent="0.3">
      <c r="B42" s="2" t="s">
        <v>86</v>
      </c>
      <c r="C42" s="3" t="s">
        <v>88</v>
      </c>
      <c r="D42" s="3">
        <v>28</v>
      </c>
      <c r="E42" s="3">
        <v>19</v>
      </c>
      <c r="F42" s="3">
        <f t="shared" si="0"/>
        <v>47</v>
      </c>
      <c r="G42" s="4">
        <f t="shared" si="1"/>
        <v>0.94</v>
      </c>
    </row>
    <row r="43" spans="2:7" x14ac:dyDescent="0.3">
      <c r="B43" s="2" t="s">
        <v>87</v>
      </c>
      <c r="C43" s="3" t="s">
        <v>89</v>
      </c>
      <c r="D43" s="3">
        <v>26</v>
      </c>
      <c r="E43" s="3">
        <v>16</v>
      </c>
      <c r="F43" s="3">
        <f t="shared" si="0"/>
        <v>42</v>
      </c>
      <c r="G43" s="4">
        <f t="shared" si="1"/>
        <v>0.84</v>
      </c>
    </row>
  </sheetData>
  <sortState xmlns:xlrd2="http://schemas.microsoft.com/office/spreadsheetml/2017/richdata2" ref="B3:G43">
    <sortCondition ref="B3:B43"/>
  </sortState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4FB6D-2A70-4EF3-B492-47CDD15B49E8}">
  <dimension ref="A1:S42"/>
  <sheetViews>
    <sheetView workbookViewId="0"/>
  </sheetViews>
  <sheetFormatPr defaultRowHeight="14.4" x14ac:dyDescent="0.3"/>
  <cols>
    <col min="7" max="7" width="22.33203125" bestFit="1" customWidth="1"/>
    <col min="8" max="8" width="12.33203125" bestFit="1" customWidth="1"/>
    <col min="9" max="9" width="15.44140625" bestFit="1" customWidth="1"/>
    <col min="10" max="10" width="10.33203125" bestFit="1" customWidth="1"/>
    <col min="11" max="11" width="14.5546875" bestFit="1" customWidth="1"/>
    <col min="12" max="12" width="12" bestFit="1" customWidth="1"/>
    <col min="13" max="13" width="16.21875" bestFit="1" customWidth="1"/>
    <col min="14" max="14" width="9.6640625" bestFit="1" customWidth="1"/>
    <col min="15" max="15" width="9.6640625" customWidth="1"/>
    <col min="16" max="16" width="10.5546875" bestFit="1" customWidth="1"/>
    <col min="17" max="17" width="12.21875" bestFit="1" customWidth="1"/>
    <col min="18" max="18" width="5.88671875" bestFit="1" customWidth="1"/>
    <col min="19" max="19" width="6.88671875" bestFit="1" customWidth="1"/>
  </cols>
  <sheetData>
    <row r="1" spans="1:19" x14ac:dyDescent="0.3">
      <c r="A1" t="s">
        <v>125</v>
      </c>
      <c r="C1" s="1" t="s">
        <v>0</v>
      </c>
      <c r="D1" s="1" t="s">
        <v>40</v>
      </c>
      <c r="E1" t="s">
        <v>115</v>
      </c>
      <c r="G1" s="11" t="s">
        <v>104</v>
      </c>
      <c r="H1" s="11" t="s">
        <v>105</v>
      </c>
      <c r="I1" s="11" t="s">
        <v>106</v>
      </c>
      <c r="J1" s="11" t="s">
        <v>107</v>
      </c>
      <c r="K1" s="11" t="s">
        <v>108</v>
      </c>
      <c r="L1" s="11" t="s">
        <v>109</v>
      </c>
      <c r="M1" s="11" t="s">
        <v>110</v>
      </c>
      <c r="N1" s="11" t="s">
        <v>111</v>
      </c>
      <c r="O1" s="11"/>
      <c r="P1" s="11" t="s">
        <v>112</v>
      </c>
      <c r="Q1" s="11" t="s">
        <v>113</v>
      </c>
      <c r="R1" s="11" t="s">
        <v>114</v>
      </c>
      <c r="S1" s="11" t="s">
        <v>115</v>
      </c>
    </row>
    <row r="2" spans="1:19" x14ac:dyDescent="0.3">
      <c r="C2" s="2" t="s">
        <v>27</v>
      </c>
      <c r="D2" s="3" t="s">
        <v>67</v>
      </c>
      <c r="E2">
        <v>90.8</v>
      </c>
      <c r="G2" t="s">
        <v>90</v>
      </c>
      <c r="H2">
        <v>570362</v>
      </c>
      <c r="I2" s="12">
        <v>45901.613923611112</v>
      </c>
      <c r="J2" s="13">
        <v>29</v>
      </c>
      <c r="K2" s="13">
        <v>30</v>
      </c>
      <c r="L2" s="13">
        <v>41</v>
      </c>
      <c r="M2" s="13">
        <v>50</v>
      </c>
      <c r="N2" t="s">
        <v>116</v>
      </c>
      <c r="P2" s="13">
        <f>J2</f>
        <v>29</v>
      </c>
      <c r="Q2" s="13">
        <f>L2/M2*20</f>
        <v>16.399999999999999</v>
      </c>
      <c r="R2" s="13">
        <f>P2+Q2</f>
        <v>45.4</v>
      </c>
      <c r="S2" s="13">
        <f>R2*2</f>
        <v>90.8</v>
      </c>
    </row>
    <row r="3" spans="1:19" x14ac:dyDescent="0.3">
      <c r="C3" s="2" t="s">
        <v>31</v>
      </c>
      <c r="D3" s="3" t="s">
        <v>71</v>
      </c>
      <c r="E3">
        <v>93.2</v>
      </c>
      <c r="G3" t="s">
        <v>94</v>
      </c>
      <c r="H3">
        <v>570363</v>
      </c>
      <c r="I3" s="12">
        <v>45901.652997685182</v>
      </c>
      <c r="J3" s="13">
        <v>29</v>
      </c>
      <c r="K3" s="13">
        <v>30</v>
      </c>
      <c r="L3" s="13">
        <v>44</v>
      </c>
      <c r="M3" s="13">
        <v>50</v>
      </c>
      <c r="N3" t="s">
        <v>116</v>
      </c>
      <c r="P3" s="13">
        <f t="shared" ref="P3:P42" si="0">J3</f>
        <v>29</v>
      </c>
      <c r="Q3" s="13">
        <f t="shared" ref="Q3:Q42" si="1">L3/M3*20</f>
        <v>17.600000000000001</v>
      </c>
      <c r="R3" s="13">
        <f t="shared" ref="R3:R42" si="2">P3+Q3</f>
        <v>46.6</v>
      </c>
      <c r="S3" s="13">
        <f t="shared" ref="S3:S42" si="3">R3*2</f>
        <v>93.2</v>
      </c>
    </row>
    <row r="4" spans="1:19" x14ac:dyDescent="0.3">
      <c r="C4" s="2" t="s">
        <v>33</v>
      </c>
      <c r="D4" s="3" t="s">
        <v>73</v>
      </c>
      <c r="E4">
        <v>90.8</v>
      </c>
      <c r="G4" t="s">
        <v>73</v>
      </c>
      <c r="H4">
        <v>570365</v>
      </c>
      <c r="I4" s="12">
        <v>45901.661666666667</v>
      </c>
      <c r="J4" s="13">
        <v>29</v>
      </c>
      <c r="K4" s="13">
        <v>30</v>
      </c>
      <c r="L4" s="13">
        <v>41</v>
      </c>
      <c r="M4" s="13">
        <v>50</v>
      </c>
      <c r="N4" t="s">
        <v>116</v>
      </c>
      <c r="P4" s="13">
        <f t="shared" si="0"/>
        <v>29</v>
      </c>
      <c r="Q4" s="13">
        <f t="shared" si="1"/>
        <v>16.399999999999999</v>
      </c>
      <c r="R4" s="13">
        <f t="shared" si="2"/>
        <v>45.4</v>
      </c>
      <c r="S4" s="13">
        <f t="shared" si="3"/>
        <v>90.8</v>
      </c>
    </row>
    <row r="5" spans="1:19" x14ac:dyDescent="0.3">
      <c r="C5" s="2" t="s">
        <v>12</v>
      </c>
      <c r="D5" s="3" t="s">
        <v>52</v>
      </c>
      <c r="E5">
        <v>85.2</v>
      </c>
      <c r="G5" t="s">
        <v>52</v>
      </c>
      <c r="H5">
        <v>570367</v>
      </c>
      <c r="I5" s="12">
        <v>45901.622395833336</v>
      </c>
      <c r="J5" s="13">
        <v>27</v>
      </c>
      <c r="K5" s="13">
        <v>30</v>
      </c>
      <c r="L5" s="13">
        <v>39</v>
      </c>
      <c r="M5" s="13">
        <v>50</v>
      </c>
      <c r="N5" t="s">
        <v>116</v>
      </c>
      <c r="P5" s="13">
        <f t="shared" si="0"/>
        <v>27</v>
      </c>
      <c r="Q5" s="13">
        <f t="shared" si="1"/>
        <v>15.600000000000001</v>
      </c>
      <c r="R5" s="13">
        <f t="shared" si="2"/>
        <v>42.6</v>
      </c>
      <c r="S5" s="13">
        <f t="shared" si="3"/>
        <v>85.2</v>
      </c>
    </row>
    <row r="6" spans="1:19" x14ac:dyDescent="0.3">
      <c r="C6" s="2" t="s">
        <v>16</v>
      </c>
      <c r="D6" s="3" t="s">
        <v>56</v>
      </c>
      <c r="E6">
        <v>86</v>
      </c>
      <c r="G6" t="s">
        <v>91</v>
      </c>
      <c r="H6">
        <v>570371</v>
      </c>
      <c r="I6" s="12">
        <v>45901.613310185188</v>
      </c>
      <c r="J6" s="13">
        <v>27</v>
      </c>
      <c r="K6" s="13">
        <v>30</v>
      </c>
      <c r="L6" s="13">
        <v>40</v>
      </c>
      <c r="M6" s="13">
        <v>50</v>
      </c>
      <c r="N6" t="s">
        <v>116</v>
      </c>
      <c r="P6" s="13">
        <f t="shared" si="0"/>
        <v>27</v>
      </c>
      <c r="Q6" s="13">
        <f t="shared" si="1"/>
        <v>16</v>
      </c>
      <c r="R6" s="13">
        <f t="shared" si="2"/>
        <v>43</v>
      </c>
      <c r="S6" s="13">
        <f t="shared" si="3"/>
        <v>86</v>
      </c>
    </row>
    <row r="7" spans="1:19" x14ac:dyDescent="0.3">
      <c r="C7" s="2" t="s">
        <v>19</v>
      </c>
      <c r="D7" s="3" t="s">
        <v>59</v>
      </c>
      <c r="E7">
        <v>90</v>
      </c>
      <c r="G7" t="s">
        <v>59</v>
      </c>
      <c r="H7">
        <v>570372</v>
      </c>
      <c r="I7" s="12">
        <v>45901.650208333333</v>
      </c>
      <c r="J7" s="13">
        <v>29</v>
      </c>
      <c r="K7" s="13">
        <v>30</v>
      </c>
      <c r="L7" s="13">
        <v>40</v>
      </c>
      <c r="M7" s="13">
        <v>50</v>
      </c>
      <c r="N7" t="s">
        <v>116</v>
      </c>
      <c r="P7" s="13">
        <f t="shared" si="0"/>
        <v>29</v>
      </c>
      <c r="Q7" s="13">
        <f t="shared" si="1"/>
        <v>16</v>
      </c>
      <c r="R7" s="13">
        <f t="shared" si="2"/>
        <v>45</v>
      </c>
      <c r="S7" s="13">
        <f t="shared" si="3"/>
        <v>90</v>
      </c>
    </row>
    <row r="8" spans="1:19" x14ac:dyDescent="0.3">
      <c r="C8" s="2" t="s">
        <v>7</v>
      </c>
      <c r="D8" s="3" t="s">
        <v>47</v>
      </c>
      <c r="E8">
        <v>76.400000000000006</v>
      </c>
      <c r="G8" t="s">
        <v>47</v>
      </c>
      <c r="H8">
        <v>570373</v>
      </c>
      <c r="I8" s="12">
        <v>45901.611851851849</v>
      </c>
      <c r="J8" s="13">
        <v>23</v>
      </c>
      <c r="K8" s="13">
        <v>30</v>
      </c>
      <c r="L8" s="13">
        <v>38</v>
      </c>
      <c r="M8" s="13">
        <v>50</v>
      </c>
      <c r="N8" t="s">
        <v>116</v>
      </c>
      <c r="P8" s="13">
        <f t="shared" si="0"/>
        <v>23</v>
      </c>
      <c r="Q8" s="13">
        <f t="shared" si="1"/>
        <v>15.2</v>
      </c>
      <c r="R8" s="13">
        <f t="shared" si="2"/>
        <v>38.200000000000003</v>
      </c>
      <c r="S8" s="13">
        <f t="shared" si="3"/>
        <v>76.400000000000006</v>
      </c>
    </row>
    <row r="9" spans="1:19" x14ac:dyDescent="0.3">
      <c r="C9" s="2" t="s">
        <v>6</v>
      </c>
      <c r="D9" s="3" t="s">
        <v>46</v>
      </c>
      <c r="E9">
        <v>91.2</v>
      </c>
      <c r="G9" t="s">
        <v>46</v>
      </c>
      <c r="H9">
        <v>570375</v>
      </c>
      <c r="I9" s="12">
        <v>45901.625254629631</v>
      </c>
      <c r="J9" s="13">
        <v>28</v>
      </c>
      <c r="K9" s="13">
        <v>30</v>
      </c>
      <c r="L9" s="13">
        <v>44</v>
      </c>
      <c r="M9" s="13">
        <v>50</v>
      </c>
      <c r="N9" t="s">
        <v>116</v>
      </c>
      <c r="P9" s="13">
        <f t="shared" si="0"/>
        <v>28</v>
      </c>
      <c r="Q9" s="13">
        <f t="shared" si="1"/>
        <v>17.600000000000001</v>
      </c>
      <c r="R9" s="13">
        <f t="shared" si="2"/>
        <v>45.6</v>
      </c>
      <c r="S9" s="13">
        <f t="shared" si="3"/>
        <v>91.2</v>
      </c>
    </row>
    <row r="10" spans="1:19" x14ac:dyDescent="0.3">
      <c r="C10" s="2" t="s">
        <v>25</v>
      </c>
      <c r="D10" s="3" t="s">
        <v>65</v>
      </c>
      <c r="E10">
        <v>89</v>
      </c>
      <c r="G10" t="s">
        <v>65</v>
      </c>
      <c r="H10">
        <v>570376</v>
      </c>
      <c r="I10" s="12">
        <v>45901.654178240744</v>
      </c>
      <c r="J10" s="13">
        <v>28.5</v>
      </c>
      <c r="K10" s="13">
        <v>30</v>
      </c>
      <c r="L10" s="13">
        <v>40</v>
      </c>
      <c r="M10" s="13">
        <v>50</v>
      </c>
      <c r="N10" t="s">
        <v>117</v>
      </c>
      <c r="P10" s="13">
        <f t="shared" si="0"/>
        <v>28.5</v>
      </c>
      <c r="Q10" s="13">
        <f t="shared" si="1"/>
        <v>16</v>
      </c>
      <c r="R10" s="13">
        <f t="shared" si="2"/>
        <v>44.5</v>
      </c>
      <c r="S10" s="13">
        <f t="shared" si="3"/>
        <v>89</v>
      </c>
    </row>
    <row r="11" spans="1:19" x14ac:dyDescent="0.3">
      <c r="C11" s="2" t="s">
        <v>21</v>
      </c>
      <c r="D11" s="3" t="s">
        <v>61</v>
      </c>
      <c r="E11">
        <v>84.8</v>
      </c>
      <c r="G11" t="s">
        <v>118</v>
      </c>
      <c r="H11">
        <v>570377</v>
      </c>
      <c r="I11" s="12">
        <v>45901.656967592593</v>
      </c>
      <c r="J11" s="13">
        <v>27</v>
      </c>
      <c r="K11" s="13">
        <v>30</v>
      </c>
      <c r="L11" s="13">
        <v>38.5</v>
      </c>
      <c r="M11" s="13">
        <v>50</v>
      </c>
      <c r="N11" t="s">
        <v>117</v>
      </c>
      <c r="P11" s="13">
        <f t="shared" si="0"/>
        <v>27</v>
      </c>
      <c r="Q11" s="13">
        <f t="shared" si="1"/>
        <v>15.4</v>
      </c>
      <c r="R11" s="13">
        <f t="shared" si="2"/>
        <v>42.4</v>
      </c>
      <c r="S11" s="13">
        <f t="shared" si="3"/>
        <v>84.8</v>
      </c>
    </row>
    <row r="12" spans="1:19" x14ac:dyDescent="0.3">
      <c r="C12" s="2" t="s">
        <v>126</v>
      </c>
      <c r="D12" s="3" t="s">
        <v>79</v>
      </c>
      <c r="E12">
        <v>91.6</v>
      </c>
      <c r="G12" t="s">
        <v>79</v>
      </c>
      <c r="H12">
        <v>570378</v>
      </c>
      <c r="I12" s="12">
        <v>45901.659317129626</v>
      </c>
      <c r="J12" s="13">
        <v>29</v>
      </c>
      <c r="K12" s="13">
        <v>30</v>
      </c>
      <c r="L12" s="13">
        <v>42</v>
      </c>
      <c r="M12" s="13">
        <v>50</v>
      </c>
      <c r="N12" t="s">
        <v>116</v>
      </c>
      <c r="P12" s="13">
        <f t="shared" si="0"/>
        <v>29</v>
      </c>
      <c r="Q12" s="13">
        <f t="shared" si="1"/>
        <v>16.8</v>
      </c>
      <c r="R12" s="13">
        <f t="shared" si="2"/>
        <v>45.8</v>
      </c>
      <c r="S12" s="13">
        <f t="shared" si="3"/>
        <v>91.6</v>
      </c>
    </row>
    <row r="13" spans="1:19" x14ac:dyDescent="0.3">
      <c r="C13" s="2" t="s">
        <v>24</v>
      </c>
      <c r="D13" s="3" t="s">
        <v>64</v>
      </c>
      <c r="E13">
        <v>84</v>
      </c>
      <c r="G13" t="s">
        <v>64</v>
      </c>
      <c r="H13">
        <v>570380</v>
      </c>
      <c r="I13" s="12">
        <v>45901.618888888886</v>
      </c>
      <c r="J13" s="13">
        <v>26</v>
      </c>
      <c r="K13" s="13">
        <v>30</v>
      </c>
      <c r="L13" s="13">
        <v>40</v>
      </c>
      <c r="M13" s="13">
        <v>50</v>
      </c>
      <c r="N13" t="s">
        <v>116</v>
      </c>
      <c r="P13" s="13">
        <f t="shared" si="0"/>
        <v>26</v>
      </c>
      <c r="Q13" s="13">
        <f t="shared" si="1"/>
        <v>16</v>
      </c>
      <c r="R13" s="13">
        <f t="shared" si="2"/>
        <v>42</v>
      </c>
      <c r="S13" s="13">
        <f t="shared" si="3"/>
        <v>84</v>
      </c>
    </row>
    <row r="14" spans="1:19" x14ac:dyDescent="0.3">
      <c r="C14" s="2" t="s">
        <v>10</v>
      </c>
      <c r="D14" s="3" t="s">
        <v>50</v>
      </c>
      <c r="E14">
        <v>88</v>
      </c>
      <c r="G14" t="s">
        <v>50</v>
      </c>
      <c r="H14">
        <v>570381</v>
      </c>
      <c r="I14" s="12">
        <v>45901.615798611114</v>
      </c>
      <c r="J14" s="13">
        <v>26</v>
      </c>
      <c r="K14" s="13">
        <v>30</v>
      </c>
      <c r="L14" s="13">
        <v>45</v>
      </c>
      <c r="M14" s="13">
        <v>50</v>
      </c>
      <c r="N14" t="s">
        <v>116</v>
      </c>
      <c r="P14" s="13">
        <f t="shared" si="0"/>
        <v>26</v>
      </c>
      <c r="Q14" s="13">
        <f t="shared" si="1"/>
        <v>18</v>
      </c>
      <c r="R14" s="13">
        <f t="shared" si="2"/>
        <v>44</v>
      </c>
      <c r="S14" s="13">
        <f t="shared" si="3"/>
        <v>88</v>
      </c>
    </row>
    <row r="15" spans="1:19" x14ac:dyDescent="0.3">
      <c r="C15" s="2" t="s">
        <v>26</v>
      </c>
      <c r="D15" s="3" t="s">
        <v>66</v>
      </c>
      <c r="E15">
        <v>83.6</v>
      </c>
      <c r="G15" t="s">
        <v>66</v>
      </c>
      <c r="H15">
        <v>570382</v>
      </c>
      <c r="I15" s="12">
        <v>45901.618171296293</v>
      </c>
      <c r="J15" s="13">
        <v>25</v>
      </c>
      <c r="K15" s="13">
        <v>30</v>
      </c>
      <c r="L15" s="13">
        <v>42</v>
      </c>
      <c r="M15" s="13">
        <v>50</v>
      </c>
      <c r="N15" t="s">
        <v>116</v>
      </c>
      <c r="P15" s="13">
        <f t="shared" si="0"/>
        <v>25</v>
      </c>
      <c r="Q15" s="13">
        <f t="shared" si="1"/>
        <v>16.8</v>
      </c>
      <c r="R15" s="13">
        <f t="shared" si="2"/>
        <v>41.8</v>
      </c>
      <c r="S15" s="13">
        <f t="shared" si="3"/>
        <v>83.6</v>
      </c>
    </row>
    <row r="16" spans="1:19" x14ac:dyDescent="0.3">
      <c r="C16" s="2" t="s">
        <v>28</v>
      </c>
      <c r="D16" s="3" t="s">
        <v>68</v>
      </c>
      <c r="E16">
        <v>90.199999999999989</v>
      </c>
      <c r="G16" t="s">
        <v>68</v>
      </c>
      <c r="H16">
        <v>570390</v>
      </c>
      <c r="I16" s="12">
        <v>45901.650578703702</v>
      </c>
      <c r="J16" s="13">
        <v>28.5</v>
      </c>
      <c r="K16" s="13">
        <v>30</v>
      </c>
      <c r="L16" s="13">
        <v>41.5</v>
      </c>
      <c r="M16" s="13">
        <v>50</v>
      </c>
      <c r="N16" t="s">
        <v>117</v>
      </c>
      <c r="P16" s="13">
        <f t="shared" si="0"/>
        <v>28.5</v>
      </c>
      <c r="Q16" s="13">
        <f t="shared" si="1"/>
        <v>16.599999999999998</v>
      </c>
      <c r="R16" s="13">
        <f t="shared" si="2"/>
        <v>45.099999999999994</v>
      </c>
      <c r="S16" s="13">
        <f t="shared" si="3"/>
        <v>90.199999999999989</v>
      </c>
    </row>
    <row r="17" spans="3:19" x14ac:dyDescent="0.3">
      <c r="C17" s="2" t="s">
        <v>38</v>
      </c>
      <c r="D17" s="3" t="s">
        <v>78</v>
      </c>
      <c r="E17">
        <v>77</v>
      </c>
      <c r="G17" t="s">
        <v>78</v>
      </c>
      <c r="H17">
        <v>570391</v>
      </c>
      <c r="I17" s="12">
        <v>45901.658078703702</v>
      </c>
      <c r="J17" s="13">
        <v>25.5</v>
      </c>
      <c r="K17" s="13">
        <v>30</v>
      </c>
      <c r="L17" s="13">
        <v>32.5</v>
      </c>
      <c r="M17" s="13">
        <v>50</v>
      </c>
      <c r="N17" t="s">
        <v>117</v>
      </c>
      <c r="P17" s="13">
        <f t="shared" si="0"/>
        <v>25.5</v>
      </c>
      <c r="Q17" s="13">
        <f t="shared" si="1"/>
        <v>13</v>
      </c>
      <c r="R17" s="13">
        <f t="shared" si="2"/>
        <v>38.5</v>
      </c>
      <c r="S17" s="13">
        <f t="shared" si="3"/>
        <v>77</v>
      </c>
    </row>
    <row r="18" spans="3:19" x14ac:dyDescent="0.3">
      <c r="C18" s="2" t="s">
        <v>37</v>
      </c>
      <c r="D18" s="3" t="s">
        <v>77</v>
      </c>
      <c r="E18">
        <v>83.2</v>
      </c>
      <c r="G18" t="s">
        <v>77</v>
      </c>
      <c r="H18">
        <v>570392</v>
      </c>
      <c r="I18" s="12">
        <v>45901.656608796293</v>
      </c>
      <c r="J18" s="13">
        <v>27</v>
      </c>
      <c r="K18" s="13">
        <v>30</v>
      </c>
      <c r="L18" s="13">
        <v>36.5</v>
      </c>
      <c r="M18" s="13">
        <v>50</v>
      </c>
      <c r="N18" t="s">
        <v>117</v>
      </c>
      <c r="P18" s="13">
        <f t="shared" si="0"/>
        <v>27</v>
      </c>
      <c r="Q18" s="13">
        <f t="shared" si="1"/>
        <v>14.6</v>
      </c>
      <c r="R18" s="13">
        <f t="shared" si="2"/>
        <v>41.6</v>
      </c>
      <c r="S18" s="13">
        <f t="shared" si="3"/>
        <v>83.2</v>
      </c>
    </row>
    <row r="19" spans="3:19" x14ac:dyDescent="0.3">
      <c r="C19" s="2" t="s">
        <v>9</v>
      </c>
      <c r="D19" s="3" t="s">
        <v>49</v>
      </c>
      <c r="E19">
        <v>92</v>
      </c>
      <c r="G19" t="s">
        <v>49</v>
      </c>
      <c r="H19">
        <v>570418</v>
      </c>
      <c r="I19" s="12">
        <v>45901.652314814812</v>
      </c>
      <c r="J19" s="13">
        <v>29</v>
      </c>
      <c r="K19" s="13">
        <v>30</v>
      </c>
      <c r="L19" s="13">
        <v>42.5</v>
      </c>
      <c r="M19" s="13">
        <v>50</v>
      </c>
      <c r="N19" t="s">
        <v>117</v>
      </c>
      <c r="P19" s="13">
        <f t="shared" si="0"/>
        <v>29</v>
      </c>
      <c r="Q19" s="13">
        <f t="shared" si="1"/>
        <v>17</v>
      </c>
      <c r="R19" s="13">
        <f t="shared" si="2"/>
        <v>46</v>
      </c>
      <c r="S19" s="13">
        <f t="shared" si="3"/>
        <v>92</v>
      </c>
    </row>
    <row r="20" spans="3:19" x14ac:dyDescent="0.3">
      <c r="C20" s="2" t="s">
        <v>1</v>
      </c>
      <c r="D20" s="3" t="s">
        <v>41</v>
      </c>
      <c r="E20">
        <v>88.4</v>
      </c>
      <c r="G20" t="s">
        <v>41</v>
      </c>
      <c r="H20">
        <v>570419</v>
      </c>
      <c r="I20" s="12">
        <v>45901.646909722222</v>
      </c>
      <c r="J20" s="13">
        <v>27</v>
      </c>
      <c r="K20" s="13">
        <v>30</v>
      </c>
      <c r="L20" s="13">
        <v>43</v>
      </c>
      <c r="M20" s="13">
        <v>50</v>
      </c>
      <c r="N20" t="s">
        <v>116</v>
      </c>
      <c r="P20" s="13">
        <f t="shared" si="0"/>
        <v>27</v>
      </c>
      <c r="Q20" s="13">
        <f t="shared" si="1"/>
        <v>17.2</v>
      </c>
      <c r="R20" s="13">
        <f t="shared" si="2"/>
        <v>44.2</v>
      </c>
      <c r="S20" s="13">
        <f t="shared" si="3"/>
        <v>88.4</v>
      </c>
    </row>
    <row r="21" spans="3:19" x14ac:dyDescent="0.3">
      <c r="C21" s="2" t="s">
        <v>2</v>
      </c>
      <c r="D21" s="3" t="s">
        <v>42</v>
      </c>
      <c r="E21">
        <v>87.2</v>
      </c>
      <c r="G21" t="s">
        <v>42</v>
      </c>
      <c r="H21">
        <v>570420</v>
      </c>
      <c r="I21" s="12">
        <v>45901.648263888892</v>
      </c>
      <c r="J21" s="13">
        <v>26</v>
      </c>
      <c r="K21" s="13">
        <v>30</v>
      </c>
      <c r="L21" s="13">
        <v>44</v>
      </c>
      <c r="M21" s="13">
        <v>50</v>
      </c>
      <c r="N21" t="s">
        <v>116</v>
      </c>
      <c r="P21" s="13">
        <f t="shared" si="0"/>
        <v>26</v>
      </c>
      <c r="Q21" s="13">
        <f t="shared" si="1"/>
        <v>17.600000000000001</v>
      </c>
      <c r="R21" s="13">
        <f t="shared" si="2"/>
        <v>43.6</v>
      </c>
      <c r="S21" s="13">
        <f t="shared" si="3"/>
        <v>87.2</v>
      </c>
    </row>
    <row r="22" spans="3:19" x14ac:dyDescent="0.3">
      <c r="C22" s="2" t="s">
        <v>36</v>
      </c>
      <c r="D22" s="3" t="s">
        <v>76</v>
      </c>
      <c r="E22">
        <v>85.6</v>
      </c>
      <c r="G22" t="s">
        <v>76</v>
      </c>
      <c r="H22">
        <v>570421</v>
      </c>
      <c r="I22" s="12">
        <v>45901.658599537041</v>
      </c>
      <c r="J22" s="13">
        <v>28</v>
      </c>
      <c r="K22" s="13">
        <v>30</v>
      </c>
      <c r="L22" s="13">
        <v>37</v>
      </c>
      <c r="M22" s="13">
        <v>50</v>
      </c>
      <c r="N22" t="s">
        <v>116</v>
      </c>
      <c r="P22" s="13">
        <f t="shared" si="0"/>
        <v>28</v>
      </c>
      <c r="Q22" s="13">
        <f t="shared" si="1"/>
        <v>14.8</v>
      </c>
      <c r="R22" s="13">
        <f t="shared" si="2"/>
        <v>42.8</v>
      </c>
      <c r="S22" s="13">
        <f t="shared" si="3"/>
        <v>85.6</v>
      </c>
    </row>
    <row r="23" spans="3:19" x14ac:dyDescent="0.3">
      <c r="C23" s="2" t="s">
        <v>14</v>
      </c>
      <c r="D23" s="3" t="s">
        <v>54</v>
      </c>
      <c r="E23">
        <v>89.2</v>
      </c>
      <c r="G23" t="s">
        <v>54</v>
      </c>
      <c r="H23">
        <v>570423</v>
      </c>
      <c r="I23" s="12">
        <v>45901.626087962963</v>
      </c>
      <c r="J23" s="13">
        <v>29</v>
      </c>
      <c r="K23" s="13">
        <v>30</v>
      </c>
      <c r="L23" s="13">
        <v>39</v>
      </c>
      <c r="M23" s="13">
        <v>50</v>
      </c>
      <c r="N23" t="s">
        <v>116</v>
      </c>
      <c r="P23" s="13">
        <f t="shared" si="0"/>
        <v>29</v>
      </c>
      <c r="Q23" s="13">
        <f t="shared" si="1"/>
        <v>15.600000000000001</v>
      </c>
      <c r="R23" s="13">
        <f t="shared" si="2"/>
        <v>44.6</v>
      </c>
      <c r="S23" s="13">
        <f t="shared" si="3"/>
        <v>89.2</v>
      </c>
    </row>
    <row r="24" spans="3:19" x14ac:dyDescent="0.3">
      <c r="C24" s="2" t="s">
        <v>8</v>
      </c>
      <c r="D24" s="3" t="s">
        <v>48</v>
      </c>
      <c r="E24">
        <v>99.2</v>
      </c>
      <c r="G24" t="s">
        <v>48</v>
      </c>
      <c r="H24">
        <v>570424</v>
      </c>
      <c r="I24" s="12">
        <v>45901.646689814814</v>
      </c>
      <c r="J24" s="13">
        <v>30</v>
      </c>
      <c r="K24" s="13">
        <v>30</v>
      </c>
      <c r="L24" s="13">
        <v>49</v>
      </c>
      <c r="M24" s="13">
        <v>50</v>
      </c>
      <c r="N24" t="s">
        <v>117</v>
      </c>
      <c r="P24" s="13">
        <f t="shared" si="0"/>
        <v>30</v>
      </c>
      <c r="Q24" s="13">
        <f t="shared" si="1"/>
        <v>19.600000000000001</v>
      </c>
      <c r="R24" s="13">
        <f t="shared" si="2"/>
        <v>49.6</v>
      </c>
      <c r="S24" s="13">
        <f t="shared" si="3"/>
        <v>99.2</v>
      </c>
    </row>
    <row r="25" spans="3:19" x14ac:dyDescent="0.3">
      <c r="C25" s="2" t="s">
        <v>4</v>
      </c>
      <c r="D25" s="3" t="s">
        <v>44</v>
      </c>
      <c r="E25">
        <v>90</v>
      </c>
      <c r="G25" t="s">
        <v>44</v>
      </c>
      <c r="H25">
        <v>570425</v>
      </c>
      <c r="I25" s="12">
        <v>45901.650185185186</v>
      </c>
      <c r="J25" s="13">
        <v>29</v>
      </c>
      <c r="K25" s="13">
        <v>30</v>
      </c>
      <c r="L25" s="13">
        <v>40</v>
      </c>
      <c r="M25" s="13">
        <v>50</v>
      </c>
      <c r="N25" t="s">
        <v>117</v>
      </c>
      <c r="P25" s="13">
        <f t="shared" si="0"/>
        <v>29</v>
      </c>
      <c r="Q25" s="13">
        <f t="shared" si="1"/>
        <v>16</v>
      </c>
      <c r="R25" s="13">
        <f t="shared" si="2"/>
        <v>45</v>
      </c>
      <c r="S25" s="13">
        <f t="shared" si="3"/>
        <v>90</v>
      </c>
    </row>
    <row r="26" spans="3:19" x14ac:dyDescent="0.3">
      <c r="C26" s="2" t="s">
        <v>127</v>
      </c>
      <c r="D26" s="3" t="s">
        <v>72</v>
      </c>
      <c r="E26">
        <v>83.6</v>
      </c>
      <c r="G26" t="s">
        <v>95</v>
      </c>
      <c r="H26">
        <v>570427</v>
      </c>
      <c r="I26" s="12">
        <v>45901.659108796295</v>
      </c>
      <c r="J26" s="13">
        <v>29</v>
      </c>
      <c r="K26" s="13">
        <v>30</v>
      </c>
      <c r="L26" s="13">
        <v>32</v>
      </c>
      <c r="M26" s="13">
        <v>50</v>
      </c>
      <c r="N26" t="s">
        <v>116</v>
      </c>
      <c r="P26" s="13">
        <f t="shared" si="0"/>
        <v>29</v>
      </c>
      <c r="Q26" s="13">
        <f t="shared" si="1"/>
        <v>12.8</v>
      </c>
      <c r="R26" s="13">
        <f t="shared" si="2"/>
        <v>41.8</v>
      </c>
      <c r="S26" s="13">
        <f t="shared" si="3"/>
        <v>83.6</v>
      </c>
    </row>
    <row r="27" spans="3:19" x14ac:dyDescent="0.3">
      <c r="C27" s="2" t="s">
        <v>35</v>
      </c>
      <c r="D27" s="3" t="s">
        <v>75</v>
      </c>
      <c r="E27">
        <v>85.6</v>
      </c>
      <c r="G27" t="s">
        <v>75</v>
      </c>
      <c r="H27">
        <v>570434</v>
      </c>
      <c r="I27" s="12">
        <v>45901.631342592591</v>
      </c>
      <c r="J27" s="13">
        <v>28</v>
      </c>
      <c r="K27" s="13">
        <v>30</v>
      </c>
      <c r="L27" s="13">
        <v>37</v>
      </c>
      <c r="M27" s="13">
        <v>50</v>
      </c>
      <c r="N27" t="s">
        <v>116</v>
      </c>
      <c r="P27" s="13">
        <f t="shared" si="0"/>
        <v>28</v>
      </c>
      <c r="Q27" s="13">
        <f t="shared" si="1"/>
        <v>14.8</v>
      </c>
      <c r="R27" s="13">
        <f t="shared" si="2"/>
        <v>42.8</v>
      </c>
      <c r="S27" s="13">
        <f t="shared" si="3"/>
        <v>85.6</v>
      </c>
    </row>
    <row r="28" spans="3:19" x14ac:dyDescent="0.3">
      <c r="C28" s="2" t="s">
        <v>34</v>
      </c>
      <c r="D28" s="3" t="s">
        <v>74</v>
      </c>
      <c r="E28">
        <v>88</v>
      </c>
      <c r="G28" t="s">
        <v>119</v>
      </c>
      <c r="H28">
        <v>570442</v>
      </c>
      <c r="I28" s="12">
        <v>45901.660555555558</v>
      </c>
      <c r="J28" s="13">
        <v>28</v>
      </c>
      <c r="K28" s="13">
        <v>30</v>
      </c>
      <c r="L28" s="13">
        <v>40</v>
      </c>
      <c r="M28" s="13">
        <v>50</v>
      </c>
      <c r="N28" t="s">
        <v>116</v>
      </c>
      <c r="P28" s="13">
        <f t="shared" si="0"/>
        <v>28</v>
      </c>
      <c r="Q28" s="13">
        <f t="shared" si="1"/>
        <v>16</v>
      </c>
      <c r="R28" s="13">
        <f t="shared" si="2"/>
        <v>44</v>
      </c>
      <c r="S28" s="13">
        <f t="shared" si="3"/>
        <v>88</v>
      </c>
    </row>
    <row r="29" spans="3:19" x14ac:dyDescent="0.3">
      <c r="C29" s="2" t="s">
        <v>5</v>
      </c>
      <c r="D29" s="3" t="s">
        <v>45</v>
      </c>
      <c r="E29">
        <v>91.2</v>
      </c>
      <c r="G29" t="s">
        <v>45</v>
      </c>
      <c r="H29">
        <v>570444</v>
      </c>
      <c r="I29" s="12">
        <v>45901.617974537039</v>
      </c>
      <c r="J29" s="13">
        <v>28</v>
      </c>
      <c r="K29" s="13">
        <v>30</v>
      </c>
      <c r="L29" s="13">
        <v>44</v>
      </c>
      <c r="M29" s="13">
        <v>50</v>
      </c>
      <c r="N29" t="s">
        <v>120</v>
      </c>
      <c r="P29" s="13">
        <f t="shared" si="0"/>
        <v>28</v>
      </c>
      <c r="Q29" s="13">
        <f t="shared" si="1"/>
        <v>17.600000000000001</v>
      </c>
      <c r="R29" s="13">
        <f t="shared" si="2"/>
        <v>45.6</v>
      </c>
      <c r="S29" s="13">
        <f t="shared" si="3"/>
        <v>91.2</v>
      </c>
    </row>
    <row r="30" spans="3:19" x14ac:dyDescent="0.3">
      <c r="C30" s="2" t="s">
        <v>15</v>
      </c>
      <c r="D30" s="3" t="s">
        <v>55</v>
      </c>
      <c r="E30">
        <v>87.6</v>
      </c>
      <c r="G30" t="s">
        <v>121</v>
      </c>
      <c r="H30">
        <v>570468</v>
      </c>
      <c r="I30" s="12">
        <v>45901.618796296294</v>
      </c>
      <c r="J30" s="13">
        <v>27</v>
      </c>
      <c r="K30" s="13">
        <v>30</v>
      </c>
      <c r="L30" s="13">
        <v>42</v>
      </c>
      <c r="M30" s="13">
        <v>50</v>
      </c>
      <c r="N30" t="s">
        <v>120</v>
      </c>
      <c r="P30" s="13">
        <f t="shared" si="0"/>
        <v>27</v>
      </c>
      <c r="Q30" s="13">
        <f t="shared" si="1"/>
        <v>16.8</v>
      </c>
      <c r="R30" s="13">
        <f t="shared" si="2"/>
        <v>43.8</v>
      </c>
      <c r="S30" s="13">
        <f t="shared" si="3"/>
        <v>87.6</v>
      </c>
    </row>
    <row r="31" spans="3:19" x14ac:dyDescent="0.3">
      <c r="C31" s="2" t="s">
        <v>23</v>
      </c>
      <c r="D31" s="3" t="s">
        <v>63</v>
      </c>
      <c r="E31">
        <v>88</v>
      </c>
      <c r="G31" t="s">
        <v>63</v>
      </c>
      <c r="H31">
        <v>570469</v>
      </c>
      <c r="I31" s="12">
        <v>45901.652314814812</v>
      </c>
      <c r="J31" s="13">
        <v>28</v>
      </c>
      <c r="K31" s="13">
        <v>30</v>
      </c>
      <c r="L31" s="13">
        <v>40</v>
      </c>
      <c r="M31" s="13">
        <v>50</v>
      </c>
      <c r="N31" t="s">
        <v>116</v>
      </c>
      <c r="P31" s="13">
        <f t="shared" si="0"/>
        <v>28</v>
      </c>
      <c r="Q31" s="13">
        <f t="shared" si="1"/>
        <v>16</v>
      </c>
      <c r="R31" s="13">
        <f t="shared" si="2"/>
        <v>44</v>
      </c>
      <c r="S31" s="13">
        <f t="shared" si="3"/>
        <v>88</v>
      </c>
    </row>
    <row r="32" spans="3:19" x14ac:dyDescent="0.3">
      <c r="C32" s="2" t="s">
        <v>22</v>
      </c>
      <c r="D32" s="3" t="s">
        <v>62</v>
      </c>
      <c r="E32">
        <v>85.6</v>
      </c>
      <c r="G32" t="s">
        <v>62</v>
      </c>
      <c r="H32">
        <v>570532</v>
      </c>
      <c r="I32" s="12">
        <v>45901.657048611109</v>
      </c>
      <c r="J32" s="13">
        <v>28</v>
      </c>
      <c r="K32" s="13">
        <v>30</v>
      </c>
      <c r="L32" s="13">
        <v>37</v>
      </c>
      <c r="M32" s="13">
        <v>50</v>
      </c>
      <c r="N32" t="s">
        <v>116</v>
      </c>
      <c r="P32" s="13">
        <f t="shared" si="0"/>
        <v>28</v>
      </c>
      <c r="Q32" s="13">
        <f t="shared" si="1"/>
        <v>14.8</v>
      </c>
      <c r="R32" s="13">
        <f t="shared" si="2"/>
        <v>42.8</v>
      </c>
      <c r="S32" s="13">
        <f t="shared" si="3"/>
        <v>85.6</v>
      </c>
    </row>
    <row r="33" spans="3:19" x14ac:dyDescent="0.3">
      <c r="C33" s="2" t="s">
        <v>13</v>
      </c>
      <c r="D33" s="3" t="s">
        <v>53</v>
      </c>
      <c r="E33">
        <v>88</v>
      </c>
      <c r="G33" t="s">
        <v>53</v>
      </c>
      <c r="H33">
        <v>570534</v>
      </c>
      <c r="I33" s="12">
        <v>45901.623761574076</v>
      </c>
      <c r="J33" s="13">
        <v>28</v>
      </c>
      <c r="K33" s="13">
        <v>30</v>
      </c>
      <c r="L33" s="13">
        <v>40</v>
      </c>
      <c r="M33" s="13">
        <v>50</v>
      </c>
      <c r="N33" t="s">
        <v>120</v>
      </c>
      <c r="P33" s="13">
        <f t="shared" si="0"/>
        <v>28</v>
      </c>
      <c r="Q33" s="13">
        <f t="shared" si="1"/>
        <v>16</v>
      </c>
      <c r="R33" s="13">
        <f t="shared" si="2"/>
        <v>44</v>
      </c>
      <c r="S33" s="13">
        <f t="shared" si="3"/>
        <v>88</v>
      </c>
    </row>
    <row r="34" spans="3:19" x14ac:dyDescent="0.3">
      <c r="C34" s="2" t="s">
        <v>30</v>
      </c>
      <c r="D34" s="3" t="s">
        <v>70</v>
      </c>
      <c r="E34">
        <v>93.6</v>
      </c>
      <c r="G34" t="s">
        <v>70</v>
      </c>
      <c r="H34">
        <v>570535</v>
      </c>
      <c r="I34" s="12">
        <v>45901.653784722221</v>
      </c>
      <c r="J34" s="13">
        <v>28</v>
      </c>
      <c r="K34" s="13">
        <v>30</v>
      </c>
      <c r="L34" s="13">
        <v>47</v>
      </c>
      <c r="M34" s="13">
        <v>50</v>
      </c>
      <c r="N34" t="s">
        <v>116</v>
      </c>
      <c r="P34" s="13">
        <f t="shared" si="0"/>
        <v>28</v>
      </c>
      <c r="Q34" s="13">
        <f t="shared" si="1"/>
        <v>18.799999999999997</v>
      </c>
      <c r="R34" s="13">
        <f t="shared" si="2"/>
        <v>46.8</v>
      </c>
      <c r="S34" s="13">
        <f t="shared" si="3"/>
        <v>93.6</v>
      </c>
    </row>
    <row r="35" spans="3:19" x14ac:dyDescent="0.3">
      <c r="C35" s="2" t="s">
        <v>18</v>
      </c>
      <c r="D35" s="3" t="s">
        <v>58</v>
      </c>
      <c r="E35">
        <v>87.6</v>
      </c>
      <c r="G35" t="s">
        <v>58</v>
      </c>
      <c r="H35">
        <v>570536</v>
      </c>
      <c r="I35" s="12">
        <v>45901.654479166667</v>
      </c>
      <c r="J35" s="13">
        <v>29</v>
      </c>
      <c r="K35" s="13">
        <v>30</v>
      </c>
      <c r="L35" s="13">
        <v>37</v>
      </c>
      <c r="M35" s="13">
        <v>50</v>
      </c>
      <c r="N35" t="s">
        <v>116</v>
      </c>
      <c r="P35" s="13">
        <f t="shared" si="0"/>
        <v>29</v>
      </c>
      <c r="Q35" s="13">
        <f t="shared" si="1"/>
        <v>14.8</v>
      </c>
      <c r="R35" s="13">
        <f t="shared" si="2"/>
        <v>43.8</v>
      </c>
      <c r="S35" s="13">
        <f t="shared" si="3"/>
        <v>87.6</v>
      </c>
    </row>
    <row r="36" spans="3:19" x14ac:dyDescent="0.3">
      <c r="C36" s="2" t="s">
        <v>17</v>
      </c>
      <c r="D36" s="3" t="s">
        <v>57</v>
      </c>
      <c r="E36">
        <v>89.2</v>
      </c>
      <c r="G36" t="s">
        <v>57</v>
      </c>
      <c r="H36">
        <v>570537</v>
      </c>
      <c r="I36" s="12">
        <v>45901.619791666664</v>
      </c>
      <c r="J36" s="13">
        <v>27</v>
      </c>
      <c r="K36" s="13">
        <v>30</v>
      </c>
      <c r="L36" s="13">
        <v>44</v>
      </c>
      <c r="M36" s="13">
        <v>50</v>
      </c>
      <c r="N36" t="s">
        <v>116</v>
      </c>
      <c r="P36" s="13">
        <f t="shared" si="0"/>
        <v>27</v>
      </c>
      <c r="Q36" s="13">
        <f t="shared" si="1"/>
        <v>17.600000000000001</v>
      </c>
      <c r="R36" s="13">
        <f t="shared" si="2"/>
        <v>44.6</v>
      </c>
      <c r="S36" s="13">
        <f t="shared" si="3"/>
        <v>89.2</v>
      </c>
    </row>
    <row r="37" spans="3:19" x14ac:dyDescent="0.3">
      <c r="C37" s="2" t="s">
        <v>3</v>
      </c>
      <c r="D37" s="3" t="s">
        <v>43</v>
      </c>
      <c r="E37">
        <v>94</v>
      </c>
      <c r="G37" t="s">
        <v>122</v>
      </c>
      <c r="H37">
        <v>570538</v>
      </c>
      <c r="I37" s="12">
        <v>45901.617754629631</v>
      </c>
      <c r="J37" s="13">
        <v>27</v>
      </c>
      <c r="K37" s="13">
        <v>30</v>
      </c>
      <c r="L37" s="13">
        <v>50</v>
      </c>
      <c r="M37" s="13">
        <v>50</v>
      </c>
      <c r="N37" t="s">
        <v>116</v>
      </c>
      <c r="P37" s="13">
        <f t="shared" si="0"/>
        <v>27</v>
      </c>
      <c r="Q37" s="13">
        <f t="shared" si="1"/>
        <v>20</v>
      </c>
      <c r="R37" s="13">
        <f t="shared" si="2"/>
        <v>47</v>
      </c>
      <c r="S37" s="13">
        <f t="shared" si="3"/>
        <v>94</v>
      </c>
    </row>
    <row r="38" spans="3:19" x14ac:dyDescent="0.3">
      <c r="C38" s="2" t="s">
        <v>20</v>
      </c>
      <c r="D38" s="3" t="s">
        <v>60</v>
      </c>
      <c r="E38">
        <v>94</v>
      </c>
      <c r="G38" t="s">
        <v>60</v>
      </c>
      <c r="H38">
        <v>570539</v>
      </c>
      <c r="I38" s="12">
        <v>45901.654849537037</v>
      </c>
      <c r="J38" s="13">
        <v>29</v>
      </c>
      <c r="K38" s="13">
        <v>30</v>
      </c>
      <c r="L38" s="13">
        <v>45</v>
      </c>
      <c r="M38" s="13">
        <v>50</v>
      </c>
      <c r="N38" t="s">
        <v>116</v>
      </c>
      <c r="P38" s="13">
        <f t="shared" si="0"/>
        <v>29</v>
      </c>
      <c r="Q38" s="13">
        <f t="shared" si="1"/>
        <v>18</v>
      </c>
      <c r="R38" s="13">
        <f t="shared" si="2"/>
        <v>47</v>
      </c>
      <c r="S38" s="13">
        <f t="shared" si="3"/>
        <v>94</v>
      </c>
    </row>
    <row r="39" spans="3:19" x14ac:dyDescent="0.3">
      <c r="C39" s="2" t="s">
        <v>11</v>
      </c>
      <c r="D39" s="3" t="s">
        <v>51</v>
      </c>
      <c r="E39">
        <v>82.4</v>
      </c>
      <c r="G39" t="s">
        <v>123</v>
      </c>
      <c r="H39">
        <v>570615</v>
      </c>
      <c r="I39" s="12">
        <v>45901.624722222223</v>
      </c>
      <c r="J39" s="13">
        <v>28</v>
      </c>
      <c r="K39" s="13">
        <v>30</v>
      </c>
      <c r="L39" s="13">
        <v>33</v>
      </c>
      <c r="M39" s="13">
        <v>50</v>
      </c>
      <c r="N39" t="s">
        <v>116</v>
      </c>
      <c r="P39" s="13">
        <f t="shared" si="0"/>
        <v>28</v>
      </c>
      <c r="Q39" s="13">
        <f t="shared" si="1"/>
        <v>13.200000000000001</v>
      </c>
      <c r="R39" s="13">
        <f t="shared" si="2"/>
        <v>41.2</v>
      </c>
      <c r="S39" s="13">
        <f t="shared" si="3"/>
        <v>82.4</v>
      </c>
    </row>
    <row r="40" spans="3:19" x14ac:dyDescent="0.3">
      <c r="C40" s="2" t="s">
        <v>29</v>
      </c>
      <c r="D40" s="3" t="s">
        <v>69</v>
      </c>
      <c r="E40">
        <v>85.2</v>
      </c>
      <c r="G40" t="s">
        <v>124</v>
      </c>
      <c r="H40">
        <v>570768</v>
      </c>
      <c r="I40" s="12">
        <v>45901.653912037036</v>
      </c>
      <c r="J40" s="13">
        <v>27</v>
      </c>
      <c r="K40" s="13">
        <v>30</v>
      </c>
      <c r="L40" s="13">
        <v>39</v>
      </c>
      <c r="M40" s="13">
        <v>50</v>
      </c>
      <c r="N40" t="s">
        <v>116</v>
      </c>
      <c r="P40" s="13">
        <f t="shared" si="0"/>
        <v>27</v>
      </c>
      <c r="Q40" s="13">
        <f t="shared" si="1"/>
        <v>15.600000000000001</v>
      </c>
      <c r="R40" s="13">
        <f t="shared" si="2"/>
        <v>42.6</v>
      </c>
      <c r="S40" s="13">
        <f t="shared" si="3"/>
        <v>85.2</v>
      </c>
    </row>
    <row r="41" spans="3:19" x14ac:dyDescent="0.3">
      <c r="C41" s="2" t="s">
        <v>86</v>
      </c>
      <c r="D41" s="3" t="s">
        <v>88</v>
      </c>
      <c r="E41">
        <v>90.4</v>
      </c>
      <c r="G41" t="s">
        <v>88</v>
      </c>
      <c r="H41">
        <v>570816</v>
      </c>
      <c r="I41" s="12">
        <v>45901.654398148145</v>
      </c>
      <c r="J41" s="13">
        <v>30</v>
      </c>
      <c r="K41" s="13">
        <v>30</v>
      </c>
      <c r="L41" s="13">
        <v>38</v>
      </c>
      <c r="M41" s="13">
        <v>50</v>
      </c>
      <c r="N41" t="s">
        <v>116</v>
      </c>
      <c r="P41" s="13">
        <f t="shared" si="0"/>
        <v>30</v>
      </c>
      <c r="Q41" s="13">
        <f t="shared" si="1"/>
        <v>15.2</v>
      </c>
      <c r="R41" s="13">
        <f t="shared" si="2"/>
        <v>45.2</v>
      </c>
      <c r="S41" s="13">
        <f t="shared" si="3"/>
        <v>90.4</v>
      </c>
    </row>
    <row r="42" spans="3:19" x14ac:dyDescent="0.3">
      <c r="C42" s="2" t="s">
        <v>87</v>
      </c>
      <c r="D42" s="3" t="s">
        <v>89</v>
      </c>
      <c r="E42">
        <v>82.8</v>
      </c>
      <c r="G42" t="s">
        <v>89</v>
      </c>
      <c r="H42">
        <v>570838</v>
      </c>
      <c r="I42" s="12">
        <v>45901.632245370369</v>
      </c>
      <c r="J42" s="13">
        <v>29</v>
      </c>
      <c r="K42" s="13">
        <v>30</v>
      </c>
      <c r="L42" s="13">
        <v>31</v>
      </c>
      <c r="M42" s="13">
        <v>50</v>
      </c>
      <c r="N42" t="s">
        <v>116</v>
      </c>
      <c r="P42" s="13">
        <f t="shared" si="0"/>
        <v>29</v>
      </c>
      <c r="Q42" s="13">
        <f t="shared" si="1"/>
        <v>12.4</v>
      </c>
      <c r="R42" s="13">
        <f t="shared" si="2"/>
        <v>41.4</v>
      </c>
      <c r="S42" s="13">
        <f t="shared" si="3"/>
        <v>82.8</v>
      </c>
    </row>
  </sheetData>
  <sortState xmlns:xlrd2="http://schemas.microsoft.com/office/spreadsheetml/2017/richdata2" ref="C2:D42">
    <sortCondition ref="C2:C42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3959F-C99B-473C-906E-3B1CDC712C50}">
  <dimension ref="A1:F42"/>
  <sheetViews>
    <sheetView workbookViewId="0">
      <selection activeCell="F2" sqref="F2"/>
    </sheetView>
  </sheetViews>
  <sheetFormatPr defaultRowHeight="14.4" x14ac:dyDescent="0.3"/>
  <cols>
    <col min="1" max="1" width="22.33203125" bestFit="1" customWidth="1"/>
    <col min="2" max="2" width="17.44140625" bestFit="1" customWidth="1"/>
    <col min="3" max="3" width="15.44140625" bestFit="1" customWidth="1"/>
    <col min="4" max="4" width="10.109375" bestFit="1" customWidth="1"/>
    <col min="5" max="5" width="14.21875" bestFit="1" customWidth="1"/>
    <col min="6" max="6" width="9.6640625" bestFit="1" customWidth="1"/>
  </cols>
  <sheetData>
    <row r="1" spans="1:6" x14ac:dyDescent="0.3">
      <c r="A1" t="s">
        <v>101</v>
      </c>
      <c r="B1" t="s">
        <v>128</v>
      </c>
      <c r="C1" t="s">
        <v>106</v>
      </c>
      <c r="D1" t="s">
        <v>107</v>
      </c>
      <c r="E1" t="s">
        <v>108</v>
      </c>
      <c r="F1" t="s">
        <v>129</v>
      </c>
    </row>
    <row r="2" spans="1:6" x14ac:dyDescent="0.3">
      <c r="A2" t="s">
        <v>95</v>
      </c>
      <c r="B2">
        <v>570427</v>
      </c>
      <c r="C2" s="12">
        <v>45904.516076388885</v>
      </c>
      <c r="D2">
        <v>26</v>
      </c>
      <c r="E2">
        <v>30</v>
      </c>
      <c r="F2">
        <f>D2/E2</f>
        <v>0.8666666666666667</v>
      </c>
    </row>
    <row r="3" spans="1:6" x14ac:dyDescent="0.3">
      <c r="A3" t="s">
        <v>65</v>
      </c>
      <c r="B3">
        <v>570376</v>
      </c>
      <c r="C3" s="12">
        <v>45904.515509259261</v>
      </c>
      <c r="D3">
        <v>28</v>
      </c>
      <c r="E3">
        <v>30</v>
      </c>
      <c r="F3">
        <f t="shared" ref="F3:F42" si="0">D3/E3</f>
        <v>0.93333333333333335</v>
      </c>
    </row>
    <row r="4" spans="1:6" x14ac:dyDescent="0.3">
      <c r="A4" t="s">
        <v>79</v>
      </c>
      <c r="B4">
        <v>570378</v>
      </c>
      <c r="C4" s="12">
        <v>45904.5153587963</v>
      </c>
      <c r="D4">
        <v>29</v>
      </c>
      <c r="E4">
        <v>30</v>
      </c>
      <c r="F4">
        <f t="shared" si="0"/>
        <v>0.96666666666666667</v>
      </c>
    </row>
    <row r="5" spans="1:6" x14ac:dyDescent="0.3">
      <c r="A5" t="s">
        <v>118</v>
      </c>
      <c r="B5">
        <v>570377</v>
      </c>
      <c r="C5" s="12">
        <v>45904.514918981484</v>
      </c>
      <c r="D5">
        <v>28</v>
      </c>
      <c r="E5">
        <v>30</v>
      </c>
      <c r="F5">
        <f t="shared" si="0"/>
        <v>0.93333333333333335</v>
      </c>
    </row>
    <row r="6" spans="1:6" x14ac:dyDescent="0.3">
      <c r="A6" t="s">
        <v>59</v>
      </c>
      <c r="B6">
        <v>570372</v>
      </c>
      <c r="C6" s="12">
        <v>45904.51462962963</v>
      </c>
      <c r="D6">
        <v>27</v>
      </c>
      <c r="E6">
        <v>30</v>
      </c>
      <c r="F6">
        <f t="shared" si="0"/>
        <v>0.9</v>
      </c>
    </row>
    <row r="7" spans="1:6" x14ac:dyDescent="0.3">
      <c r="A7" t="s">
        <v>58</v>
      </c>
      <c r="B7">
        <v>570536</v>
      </c>
      <c r="C7" s="12">
        <v>45904.51457175926</v>
      </c>
      <c r="D7">
        <v>27</v>
      </c>
      <c r="E7">
        <v>30</v>
      </c>
      <c r="F7">
        <f t="shared" si="0"/>
        <v>0.9</v>
      </c>
    </row>
    <row r="8" spans="1:6" x14ac:dyDescent="0.3">
      <c r="A8" t="s">
        <v>60</v>
      </c>
      <c r="B8">
        <v>570539</v>
      </c>
      <c r="C8" s="12">
        <v>45904.514548611114</v>
      </c>
      <c r="D8">
        <v>26</v>
      </c>
      <c r="E8">
        <v>30</v>
      </c>
      <c r="F8">
        <f t="shared" si="0"/>
        <v>0.8666666666666667</v>
      </c>
    </row>
    <row r="9" spans="1:6" x14ac:dyDescent="0.3">
      <c r="A9" t="s">
        <v>52</v>
      </c>
      <c r="B9">
        <v>570367</v>
      </c>
      <c r="C9" s="12">
        <v>45904.514224537037</v>
      </c>
      <c r="D9">
        <v>25</v>
      </c>
      <c r="E9">
        <v>30</v>
      </c>
      <c r="F9">
        <f t="shared" si="0"/>
        <v>0.83333333333333337</v>
      </c>
    </row>
    <row r="10" spans="1:6" x14ac:dyDescent="0.3">
      <c r="A10" t="s">
        <v>88</v>
      </c>
      <c r="B10">
        <v>570816</v>
      </c>
      <c r="C10" s="12">
        <v>45904.514166666668</v>
      </c>
      <c r="D10">
        <v>26</v>
      </c>
      <c r="E10">
        <v>30</v>
      </c>
      <c r="F10">
        <f t="shared" si="0"/>
        <v>0.8666666666666667</v>
      </c>
    </row>
    <row r="11" spans="1:6" x14ac:dyDescent="0.3">
      <c r="A11" t="s">
        <v>75</v>
      </c>
      <c r="B11">
        <v>570434</v>
      </c>
      <c r="C11" s="12">
        <v>45904.513807870368</v>
      </c>
      <c r="D11">
        <v>24</v>
      </c>
      <c r="E11">
        <v>30</v>
      </c>
      <c r="F11">
        <f t="shared" si="0"/>
        <v>0.8</v>
      </c>
    </row>
    <row r="12" spans="1:6" x14ac:dyDescent="0.3">
      <c r="A12" t="s">
        <v>121</v>
      </c>
      <c r="B12">
        <v>570468</v>
      </c>
      <c r="C12" s="12">
        <v>45904.513402777775</v>
      </c>
      <c r="D12">
        <v>25</v>
      </c>
      <c r="E12">
        <v>30</v>
      </c>
      <c r="F12">
        <f t="shared" si="0"/>
        <v>0.83333333333333337</v>
      </c>
    </row>
    <row r="13" spans="1:6" x14ac:dyDescent="0.3">
      <c r="A13" t="s">
        <v>78</v>
      </c>
      <c r="B13">
        <v>570391</v>
      </c>
      <c r="C13" s="12">
        <v>45904.513333333336</v>
      </c>
      <c r="D13">
        <v>25</v>
      </c>
      <c r="E13">
        <v>30</v>
      </c>
      <c r="F13">
        <f t="shared" si="0"/>
        <v>0.83333333333333337</v>
      </c>
    </row>
    <row r="14" spans="1:6" x14ac:dyDescent="0.3">
      <c r="A14" t="s">
        <v>44</v>
      </c>
      <c r="B14">
        <v>570425</v>
      </c>
      <c r="C14" s="12">
        <v>45904.513090277775</v>
      </c>
      <c r="D14">
        <v>28</v>
      </c>
      <c r="E14">
        <v>30</v>
      </c>
      <c r="F14">
        <f t="shared" si="0"/>
        <v>0.93333333333333335</v>
      </c>
    </row>
    <row r="15" spans="1:6" x14ac:dyDescent="0.3">
      <c r="A15" t="s">
        <v>89</v>
      </c>
      <c r="B15">
        <v>570838</v>
      </c>
      <c r="C15" s="12">
        <v>45904.512777777774</v>
      </c>
      <c r="D15">
        <v>28</v>
      </c>
      <c r="E15">
        <v>30</v>
      </c>
      <c r="F15">
        <f t="shared" si="0"/>
        <v>0.93333333333333335</v>
      </c>
    </row>
    <row r="16" spans="1:6" x14ac:dyDescent="0.3">
      <c r="A16" t="s">
        <v>42</v>
      </c>
      <c r="B16">
        <v>570420</v>
      </c>
      <c r="C16" s="12">
        <v>45904.512731481482</v>
      </c>
      <c r="D16">
        <v>24</v>
      </c>
      <c r="E16">
        <v>30</v>
      </c>
      <c r="F16">
        <f t="shared" si="0"/>
        <v>0.8</v>
      </c>
    </row>
    <row r="17" spans="1:6" x14ac:dyDescent="0.3">
      <c r="A17" t="s">
        <v>53</v>
      </c>
      <c r="B17">
        <v>570534</v>
      </c>
      <c r="C17" s="12">
        <v>45904.512650462966</v>
      </c>
      <c r="D17">
        <v>26</v>
      </c>
      <c r="E17">
        <v>30</v>
      </c>
      <c r="F17">
        <f t="shared" si="0"/>
        <v>0.8666666666666667</v>
      </c>
    </row>
    <row r="18" spans="1:6" x14ac:dyDescent="0.3">
      <c r="A18" t="s">
        <v>45</v>
      </c>
      <c r="B18">
        <v>570444</v>
      </c>
      <c r="C18" s="12">
        <v>45904.512523148151</v>
      </c>
      <c r="D18">
        <v>26</v>
      </c>
      <c r="E18">
        <v>30</v>
      </c>
      <c r="F18">
        <f t="shared" si="0"/>
        <v>0.8666666666666667</v>
      </c>
    </row>
    <row r="19" spans="1:6" x14ac:dyDescent="0.3">
      <c r="A19" t="s">
        <v>119</v>
      </c>
      <c r="B19">
        <v>570442</v>
      </c>
      <c r="C19" s="12">
        <v>45904.512488425928</v>
      </c>
      <c r="D19">
        <v>28</v>
      </c>
      <c r="E19">
        <v>30</v>
      </c>
      <c r="F19">
        <f t="shared" si="0"/>
        <v>0.93333333333333335</v>
      </c>
    </row>
    <row r="20" spans="1:6" x14ac:dyDescent="0.3">
      <c r="A20" t="s">
        <v>46</v>
      </c>
      <c r="B20">
        <v>570375</v>
      </c>
      <c r="C20" s="12">
        <v>45904.512407407405</v>
      </c>
      <c r="D20">
        <v>28</v>
      </c>
      <c r="E20">
        <v>30</v>
      </c>
      <c r="F20">
        <f t="shared" si="0"/>
        <v>0.93333333333333335</v>
      </c>
    </row>
    <row r="21" spans="1:6" x14ac:dyDescent="0.3">
      <c r="A21" t="s">
        <v>123</v>
      </c>
      <c r="B21">
        <v>570615</v>
      </c>
      <c r="C21" s="12">
        <v>45904.51226851852</v>
      </c>
      <c r="D21">
        <v>24</v>
      </c>
      <c r="E21">
        <v>30</v>
      </c>
      <c r="F21">
        <f t="shared" si="0"/>
        <v>0.8</v>
      </c>
    </row>
    <row r="22" spans="1:6" x14ac:dyDescent="0.3">
      <c r="A22" t="s">
        <v>76</v>
      </c>
      <c r="B22">
        <v>570421</v>
      </c>
      <c r="C22" s="12">
        <v>45904.512245370373</v>
      </c>
      <c r="D22">
        <v>23</v>
      </c>
      <c r="E22">
        <v>30</v>
      </c>
      <c r="F22">
        <f t="shared" si="0"/>
        <v>0.76666666666666672</v>
      </c>
    </row>
    <row r="23" spans="1:6" x14ac:dyDescent="0.3">
      <c r="A23" t="s">
        <v>62</v>
      </c>
      <c r="B23">
        <v>570532</v>
      </c>
      <c r="C23" s="12">
        <v>45904.51221064815</v>
      </c>
      <c r="D23">
        <v>26</v>
      </c>
      <c r="E23">
        <v>30</v>
      </c>
      <c r="F23">
        <f t="shared" si="0"/>
        <v>0.8666666666666667</v>
      </c>
    </row>
    <row r="24" spans="1:6" x14ac:dyDescent="0.3">
      <c r="A24" t="s">
        <v>63</v>
      </c>
      <c r="B24">
        <v>570469</v>
      </c>
      <c r="C24" s="12">
        <v>45904.512199074074</v>
      </c>
      <c r="D24">
        <v>26</v>
      </c>
      <c r="E24">
        <v>30</v>
      </c>
      <c r="F24">
        <f t="shared" si="0"/>
        <v>0.8666666666666667</v>
      </c>
    </row>
    <row r="25" spans="1:6" x14ac:dyDescent="0.3">
      <c r="A25" t="s">
        <v>49</v>
      </c>
      <c r="B25">
        <v>570418</v>
      </c>
      <c r="C25" s="12">
        <v>45904.512013888889</v>
      </c>
      <c r="D25">
        <v>29</v>
      </c>
      <c r="E25">
        <v>30</v>
      </c>
      <c r="F25">
        <f t="shared" si="0"/>
        <v>0.96666666666666667</v>
      </c>
    </row>
    <row r="26" spans="1:6" x14ac:dyDescent="0.3">
      <c r="A26" t="s">
        <v>73</v>
      </c>
      <c r="B26">
        <v>570365</v>
      </c>
      <c r="C26" s="12">
        <v>45904.511956018519</v>
      </c>
      <c r="D26">
        <v>27</v>
      </c>
      <c r="E26">
        <v>30</v>
      </c>
      <c r="F26">
        <f t="shared" si="0"/>
        <v>0.9</v>
      </c>
    </row>
    <row r="27" spans="1:6" x14ac:dyDescent="0.3">
      <c r="A27" t="s">
        <v>68</v>
      </c>
      <c r="B27">
        <v>570390</v>
      </c>
      <c r="C27" s="12">
        <v>45904.511805555558</v>
      </c>
      <c r="D27">
        <v>26</v>
      </c>
      <c r="E27">
        <v>30</v>
      </c>
      <c r="F27">
        <f t="shared" si="0"/>
        <v>0.8666666666666667</v>
      </c>
    </row>
    <row r="28" spans="1:6" x14ac:dyDescent="0.3">
      <c r="A28" t="s">
        <v>124</v>
      </c>
      <c r="B28">
        <v>570768</v>
      </c>
      <c r="C28" s="12">
        <v>45904.511354166665</v>
      </c>
      <c r="D28">
        <v>27</v>
      </c>
      <c r="E28">
        <v>30</v>
      </c>
      <c r="F28">
        <f t="shared" si="0"/>
        <v>0.9</v>
      </c>
    </row>
    <row r="29" spans="1:6" x14ac:dyDescent="0.3">
      <c r="A29" t="s">
        <v>90</v>
      </c>
      <c r="B29">
        <v>570362</v>
      </c>
      <c r="C29" s="12">
        <v>45904.511319444442</v>
      </c>
      <c r="D29">
        <v>28</v>
      </c>
      <c r="E29">
        <v>30</v>
      </c>
      <c r="F29">
        <f t="shared" si="0"/>
        <v>0.93333333333333335</v>
      </c>
    </row>
    <row r="30" spans="1:6" x14ac:dyDescent="0.3">
      <c r="A30" t="s">
        <v>77</v>
      </c>
      <c r="B30">
        <v>570392</v>
      </c>
      <c r="C30" s="12">
        <v>45904.511261574073</v>
      </c>
      <c r="D30">
        <v>26</v>
      </c>
      <c r="E30">
        <v>30</v>
      </c>
      <c r="F30">
        <f t="shared" si="0"/>
        <v>0.8666666666666667</v>
      </c>
    </row>
    <row r="31" spans="1:6" x14ac:dyDescent="0.3">
      <c r="A31" t="s">
        <v>94</v>
      </c>
      <c r="B31">
        <v>570363</v>
      </c>
      <c r="C31" s="12">
        <v>45904.511145833334</v>
      </c>
      <c r="D31">
        <v>26</v>
      </c>
      <c r="E31">
        <v>30</v>
      </c>
      <c r="F31">
        <f t="shared" si="0"/>
        <v>0.8666666666666667</v>
      </c>
    </row>
    <row r="32" spans="1:6" x14ac:dyDescent="0.3">
      <c r="A32" t="s">
        <v>54</v>
      </c>
      <c r="B32">
        <v>570423</v>
      </c>
      <c r="C32" s="12">
        <v>45904.510613425926</v>
      </c>
      <c r="D32">
        <v>25</v>
      </c>
      <c r="E32">
        <v>30</v>
      </c>
      <c r="F32">
        <f t="shared" si="0"/>
        <v>0.83333333333333337</v>
      </c>
    </row>
    <row r="33" spans="1:6" x14ac:dyDescent="0.3">
      <c r="A33" t="s">
        <v>91</v>
      </c>
      <c r="B33">
        <v>570371</v>
      </c>
      <c r="C33" s="12">
        <v>45904.509502314817</v>
      </c>
      <c r="D33">
        <v>26</v>
      </c>
      <c r="E33">
        <v>30</v>
      </c>
      <c r="F33">
        <f t="shared" si="0"/>
        <v>0.8666666666666667</v>
      </c>
    </row>
    <row r="34" spans="1:6" x14ac:dyDescent="0.3">
      <c r="A34" t="s">
        <v>41</v>
      </c>
      <c r="B34">
        <v>570419</v>
      </c>
      <c r="C34" s="12">
        <v>45904.509363425925</v>
      </c>
      <c r="D34">
        <v>27</v>
      </c>
      <c r="E34">
        <v>30</v>
      </c>
      <c r="F34">
        <f t="shared" si="0"/>
        <v>0.9</v>
      </c>
    </row>
    <row r="35" spans="1:6" x14ac:dyDescent="0.3">
      <c r="A35" t="s">
        <v>122</v>
      </c>
      <c r="B35">
        <v>570538</v>
      </c>
      <c r="C35" s="12">
        <v>45904.509155092594</v>
      </c>
      <c r="D35">
        <v>29</v>
      </c>
      <c r="E35">
        <v>30</v>
      </c>
      <c r="F35">
        <f t="shared" si="0"/>
        <v>0.96666666666666667</v>
      </c>
    </row>
    <row r="36" spans="1:6" x14ac:dyDescent="0.3">
      <c r="A36" t="s">
        <v>50</v>
      </c>
      <c r="B36">
        <v>570381</v>
      </c>
      <c r="C36" s="12">
        <v>45904.509108796294</v>
      </c>
      <c r="D36">
        <v>28</v>
      </c>
      <c r="E36">
        <v>30</v>
      </c>
      <c r="F36">
        <f t="shared" si="0"/>
        <v>0.93333333333333335</v>
      </c>
    </row>
    <row r="37" spans="1:6" x14ac:dyDescent="0.3">
      <c r="A37" t="s">
        <v>70</v>
      </c>
      <c r="B37">
        <v>570535</v>
      </c>
      <c r="C37" s="12">
        <v>45904.509050925924</v>
      </c>
      <c r="D37">
        <v>27</v>
      </c>
      <c r="E37">
        <v>30</v>
      </c>
      <c r="F37">
        <f t="shared" si="0"/>
        <v>0.9</v>
      </c>
    </row>
    <row r="38" spans="1:6" x14ac:dyDescent="0.3">
      <c r="A38" t="s">
        <v>64</v>
      </c>
      <c r="B38">
        <v>570380</v>
      </c>
      <c r="C38" s="12">
        <v>45904.508877314816</v>
      </c>
      <c r="D38">
        <v>23</v>
      </c>
      <c r="E38">
        <v>30</v>
      </c>
      <c r="F38">
        <f t="shared" si="0"/>
        <v>0.76666666666666672</v>
      </c>
    </row>
    <row r="39" spans="1:6" x14ac:dyDescent="0.3">
      <c r="A39" t="s">
        <v>47</v>
      </c>
      <c r="B39">
        <v>570373</v>
      </c>
      <c r="C39" s="12">
        <v>45904.508726851855</v>
      </c>
      <c r="D39">
        <v>24</v>
      </c>
      <c r="E39">
        <v>30</v>
      </c>
      <c r="F39">
        <f t="shared" si="0"/>
        <v>0.8</v>
      </c>
    </row>
    <row r="40" spans="1:6" x14ac:dyDescent="0.3">
      <c r="A40" t="s">
        <v>48</v>
      </c>
      <c r="B40">
        <v>570424</v>
      </c>
      <c r="C40" s="12">
        <v>45904.508298611108</v>
      </c>
      <c r="D40">
        <v>27</v>
      </c>
      <c r="E40">
        <v>30</v>
      </c>
      <c r="F40">
        <f t="shared" si="0"/>
        <v>0.9</v>
      </c>
    </row>
    <row r="41" spans="1:6" x14ac:dyDescent="0.3">
      <c r="A41" t="s">
        <v>57</v>
      </c>
      <c r="B41">
        <v>570537</v>
      </c>
      <c r="C41" s="12">
        <v>45904.506481481483</v>
      </c>
      <c r="D41">
        <v>22</v>
      </c>
      <c r="E41">
        <v>30</v>
      </c>
      <c r="F41">
        <f t="shared" si="0"/>
        <v>0.73333333333333328</v>
      </c>
    </row>
    <row r="42" spans="1:6" x14ac:dyDescent="0.3">
      <c r="A42" t="s">
        <v>66</v>
      </c>
      <c r="B42">
        <v>570382</v>
      </c>
      <c r="C42" s="12">
        <v>45904.505289351851</v>
      </c>
      <c r="D42">
        <v>24</v>
      </c>
      <c r="E42">
        <v>30</v>
      </c>
      <c r="F42">
        <f t="shared" si="0"/>
        <v>0.8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B70B4-E4BA-416C-BDA9-CDEC7B2C6BC8}">
  <dimension ref="A1:O47"/>
  <sheetViews>
    <sheetView workbookViewId="0"/>
  </sheetViews>
  <sheetFormatPr defaultRowHeight="14.4" x14ac:dyDescent="0.3"/>
  <cols>
    <col min="1" max="1" width="12" bestFit="1" customWidth="1"/>
    <col min="2" max="2" width="22.33203125" bestFit="1" customWidth="1"/>
    <col min="3" max="3" width="8.109375" bestFit="1" customWidth="1"/>
    <col min="4" max="5" width="12" bestFit="1" customWidth="1"/>
    <col min="7" max="7" width="22.33203125" bestFit="1" customWidth="1"/>
    <col min="8" max="8" width="12.109375" bestFit="1" customWidth="1"/>
    <col min="9" max="9" width="10.109375" bestFit="1" customWidth="1"/>
    <col min="10" max="10" width="14.21875" bestFit="1" customWidth="1"/>
    <col min="11" max="11" width="11.5546875" bestFit="1" customWidth="1"/>
    <col min="12" max="12" width="15.6640625" bestFit="1" customWidth="1"/>
    <col min="13" max="13" width="8.109375" bestFit="1" customWidth="1"/>
    <col min="14" max="15" width="12" bestFit="1" customWidth="1"/>
  </cols>
  <sheetData>
    <row r="1" spans="1:15" x14ac:dyDescent="0.3">
      <c r="A1" s="1" t="s">
        <v>0</v>
      </c>
      <c r="B1" s="1" t="s">
        <v>40</v>
      </c>
      <c r="C1" t="s">
        <v>131</v>
      </c>
      <c r="D1" t="s">
        <v>132</v>
      </c>
      <c r="E1" t="s">
        <v>133</v>
      </c>
      <c r="G1" t="s">
        <v>104</v>
      </c>
      <c r="H1" t="s">
        <v>105</v>
      </c>
      <c r="I1" t="s">
        <v>107</v>
      </c>
      <c r="J1" t="s">
        <v>108</v>
      </c>
      <c r="K1" t="s">
        <v>109</v>
      </c>
      <c r="L1" t="s">
        <v>110</v>
      </c>
      <c r="M1" t="s">
        <v>131</v>
      </c>
      <c r="N1" t="s">
        <v>132</v>
      </c>
      <c r="O1" t="s">
        <v>133</v>
      </c>
    </row>
    <row r="2" spans="1:15" x14ac:dyDescent="0.3">
      <c r="A2" s="2" t="s">
        <v>39</v>
      </c>
      <c r="B2" s="3" t="s">
        <v>79</v>
      </c>
      <c r="C2">
        <v>29</v>
      </c>
      <c r="D2">
        <v>11.333333333333332</v>
      </c>
      <c r="E2">
        <v>0.80666666666666653</v>
      </c>
      <c r="G2" t="s">
        <v>79</v>
      </c>
      <c r="H2" s="14" t="s">
        <v>39</v>
      </c>
      <c r="I2">
        <v>29</v>
      </c>
      <c r="J2">
        <v>30</v>
      </c>
      <c r="K2">
        <v>17</v>
      </c>
      <c r="L2">
        <v>30</v>
      </c>
      <c r="M2">
        <f t="shared" ref="M2:M16" si="0">I2</f>
        <v>29</v>
      </c>
      <c r="N2">
        <f t="shared" ref="N2:N16" si="1">K2/L2*20</f>
        <v>11.333333333333332</v>
      </c>
      <c r="O2">
        <f t="shared" ref="O2:O16" si="2">SUM(M2,N2)/50</f>
        <v>0.80666666666666653</v>
      </c>
    </row>
    <row r="3" spans="1:15" x14ac:dyDescent="0.3">
      <c r="A3" s="2" t="s">
        <v>32</v>
      </c>
      <c r="B3" s="3" t="s">
        <v>72</v>
      </c>
      <c r="C3">
        <v>28</v>
      </c>
      <c r="D3">
        <v>14</v>
      </c>
      <c r="E3">
        <v>0.84</v>
      </c>
      <c r="G3" t="s">
        <v>95</v>
      </c>
      <c r="H3" s="14" t="s">
        <v>134</v>
      </c>
      <c r="I3">
        <v>28</v>
      </c>
      <c r="J3">
        <v>30</v>
      </c>
      <c r="K3">
        <v>21</v>
      </c>
      <c r="L3">
        <v>30</v>
      </c>
      <c r="M3">
        <f t="shared" si="0"/>
        <v>28</v>
      </c>
      <c r="N3">
        <f t="shared" si="1"/>
        <v>14</v>
      </c>
      <c r="O3">
        <f t="shared" si="2"/>
        <v>0.84</v>
      </c>
    </row>
    <row r="4" spans="1:15" x14ac:dyDescent="0.3">
      <c r="A4" s="2" t="s">
        <v>27</v>
      </c>
      <c r="B4" s="3" t="s">
        <v>67</v>
      </c>
      <c r="C4">
        <v>29</v>
      </c>
      <c r="D4">
        <v>14.666666666666666</v>
      </c>
      <c r="E4">
        <v>0.87333333333333329</v>
      </c>
      <c r="G4" t="s">
        <v>90</v>
      </c>
      <c r="H4">
        <v>570362</v>
      </c>
      <c r="I4">
        <v>29</v>
      </c>
      <c r="J4">
        <v>30</v>
      </c>
      <c r="K4">
        <v>22</v>
      </c>
      <c r="L4">
        <v>30</v>
      </c>
      <c r="M4">
        <f t="shared" si="0"/>
        <v>29</v>
      </c>
      <c r="N4">
        <f t="shared" si="1"/>
        <v>14.666666666666666</v>
      </c>
      <c r="O4">
        <f t="shared" si="2"/>
        <v>0.87333333333333329</v>
      </c>
    </row>
    <row r="5" spans="1:15" x14ac:dyDescent="0.3">
      <c r="A5" s="2" t="s">
        <v>31</v>
      </c>
      <c r="B5" s="3" t="s">
        <v>71</v>
      </c>
      <c r="C5">
        <v>28</v>
      </c>
      <c r="D5">
        <v>16</v>
      </c>
      <c r="E5">
        <v>0.88</v>
      </c>
      <c r="G5" t="s">
        <v>94</v>
      </c>
      <c r="H5">
        <v>570363</v>
      </c>
      <c r="I5">
        <v>23</v>
      </c>
      <c r="J5">
        <v>30</v>
      </c>
      <c r="K5">
        <v>16</v>
      </c>
      <c r="L5">
        <v>30</v>
      </c>
      <c r="M5">
        <f t="shared" si="0"/>
        <v>23</v>
      </c>
      <c r="N5">
        <f t="shared" si="1"/>
        <v>10.666666666666666</v>
      </c>
      <c r="O5">
        <f t="shared" si="2"/>
        <v>0.67333333333333334</v>
      </c>
    </row>
    <row r="6" spans="1:15" x14ac:dyDescent="0.3">
      <c r="A6" s="2" t="s">
        <v>33</v>
      </c>
      <c r="B6" s="3" t="s">
        <v>73</v>
      </c>
      <c r="C6">
        <v>27</v>
      </c>
      <c r="D6">
        <v>20</v>
      </c>
      <c r="E6">
        <v>0.94</v>
      </c>
      <c r="G6" t="s">
        <v>73</v>
      </c>
      <c r="H6">
        <v>570365</v>
      </c>
      <c r="I6">
        <v>27</v>
      </c>
      <c r="J6">
        <v>30</v>
      </c>
      <c r="K6">
        <v>30</v>
      </c>
      <c r="L6">
        <v>30</v>
      </c>
      <c r="M6">
        <f t="shared" si="0"/>
        <v>27</v>
      </c>
      <c r="N6">
        <f t="shared" si="1"/>
        <v>20</v>
      </c>
      <c r="O6">
        <f t="shared" si="2"/>
        <v>0.94</v>
      </c>
    </row>
    <row r="7" spans="1:15" x14ac:dyDescent="0.3">
      <c r="A7" s="2" t="s">
        <v>12</v>
      </c>
      <c r="B7" s="3" t="s">
        <v>52</v>
      </c>
      <c r="C7">
        <v>28</v>
      </c>
      <c r="D7">
        <v>15.333333333333334</v>
      </c>
      <c r="E7">
        <v>0.8666666666666667</v>
      </c>
      <c r="G7" t="s">
        <v>52</v>
      </c>
      <c r="H7">
        <v>570367</v>
      </c>
      <c r="I7">
        <v>28</v>
      </c>
      <c r="J7">
        <v>30</v>
      </c>
      <c r="K7">
        <v>23</v>
      </c>
      <c r="L7">
        <v>30</v>
      </c>
      <c r="M7">
        <f t="shared" si="0"/>
        <v>28</v>
      </c>
      <c r="N7">
        <f t="shared" si="1"/>
        <v>15.333333333333334</v>
      </c>
      <c r="O7">
        <f t="shared" si="2"/>
        <v>0.8666666666666667</v>
      </c>
    </row>
    <row r="8" spans="1:15" x14ac:dyDescent="0.3">
      <c r="A8" s="2" t="s">
        <v>16</v>
      </c>
      <c r="B8" s="3" t="s">
        <v>56</v>
      </c>
      <c r="C8">
        <v>26</v>
      </c>
      <c r="D8">
        <v>17.333333333333336</v>
      </c>
      <c r="E8">
        <v>0.8666666666666667</v>
      </c>
      <c r="G8" t="s">
        <v>91</v>
      </c>
      <c r="H8">
        <v>570371</v>
      </c>
      <c r="I8">
        <v>26</v>
      </c>
      <c r="J8">
        <v>30</v>
      </c>
      <c r="K8">
        <v>26</v>
      </c>
      <c r="L8">
        <v>30</v>
      </c>
      <c r="M8">
        <f t="shared" si="0"/>
        <v>26</v>
      </c>
      <c r="N8">
        <f t="shared" si="1"/>
        <v>17.333333333333336</v>
      </c>
      <c r="O8">
        <f t="shared" si="2"/>
        <v>0.8666666666666667</v>
      </c>
    </row>
    <row r="9" spans="1:15" x14ac:dyDescent="0.3">
      <c r="A9" s="2" t="s">
        <v>19</v>
      </c>
      <c r="B9" s="3" t="s">
        <v>59</v>
      </c>
      <c r="C9">
        <v>29</v>
      </c>
      <c r="D9">
        <v>16</v>
      </c>
      <c r="E9">
        <v>0.9</v>
      </c>
      <c r="G9" t="s">
        <v>59</v>
      </c>
      <c r="H9">
        <v>570372</v>
      </c>
      <c r="I9">
        <v>29</v>
      </c>
      <c r="J9">
        <v>30</v>
      </c>
      <c r="K9">
        <v>24</v>
      </c>
      <c r="L9">
        <v>30</v>
      </c>
      <c r="M9">
        <f t="shared" si="0"/>
        <v>29</v>
      </c>
      <c r="N9">
        <f t="shared" si="1"/>
        <v>16</v>
      </c>
      <c r="O9">
        <f t="shared" si="2"/>
        <v>0.9</v>
      </c>
    </row>
    <row r="10" spans="1:15" x14ac:dyDescent="0.3">
      <c r="A10" s="2" t="s">
        <v>7</v>
      </c>
      <c r="B10" s="3" t="s">
        <v>47</v>
      </c>
      <c r="C10">
        <v>26</v>
      </c>
      <c r="D10">
        <v>16</v>
      </c>
      <c r="E10">
        <v>0.84</v>
      </c>
      <c r="G10" t="s">
        <v>47</v>
      </c>
      <c r="H10">
        <v>570373</v>
      </c>
      <c r="I10">
        <v>26</v>
      </c>
      <c r="J10">
        <v>30</v>
      </c>
      <c r="K10">
        <v>24</v>
      </c>
      <c r="L10">
        <v>30</v>
      </c>
      <c r="M10">
        <f t="shared" si="0"/>
        <v>26</v>
      </c>
      <c r="N10">
        <f t="shared" si="1"/>
        <v>16</v>
      </c>
      <c r="O10">
        <f t="shared" si="2"/>
        <v>0.84</v>
      </c>
    </row>
    <row r="11" spans="1:15" x14ac:dyDescent="0.3">
      <c r="A11" s="2" t="s">
        <v>6</v>
      </c>
      <c r="B11" s="3" t="s">
        <v>46</v>
      </c>
      <c r="C11">
        <v>26</v>
      </c>
      <c r="D11">
        <v>14.666666666666666</v>
      </c>
      <c r="E11">
        <v>0.81333333333333324</v>
      </c>
      <c r="G11" t="s">
        <v>46</v>
      </c>
      <c r="H11">
        <v>570375</v>
      </c>
      <c r="I11">
        <v>26</v>
      </c>
      <c r="J11">
        <v>30</v>
      </c>
      <c r="K11">
        <v>22</v>
      </c>
      <c r="L11">
        <v>30</v>
      </c>
      <c r="M11">
        <f t="shared" si="0"/>
        <v>26</v>
      </c>
      <c r="N11">
        <f t="shared" si="1"/>
        <v>14.666666666666666</v>
      </c>
      <c r="O11">
        <f t="shared" si="2"/>
        <v>0.81333333333333324</v>
      </c>
    </row>
    <row r="12" spans="1:15" x14ac:dyDescent="0.3">
      <c r="A12" s="2" t="s">
        <v>25</v>
      </c>
      <c r="B12" s="3" t="s">
        <v>65</v>
      </c>
      <c r="C12">
        <v>28</v>
      </c>
      <c r="D12">
        <v>19.333333333333332</v>
      </c>
      <c r="E12">
        <v>0.94666666666666655</v>
      </c>
      <c r="G12" t="s">
        <v>65</v>
      </c>
      <c r="H12">
        <v>570376</v>
      </c>
      <c r="I12">
        <v>28</v>
      </c>
      <c r="J12">
        <v>30</v>
      </c>
      <c r="K12">
        <v>29</v>
      </c>
      <c r="L12">
        <v>30</v>
      </c>
      <c r="M12">
        <f t="shared" si="0"/>
        <v>28</v>
      </c>
      <c r="N12">
        <f t="shared" si="1"/>
        <v>19.333333333333332</v>
      </c>
      <c r="O12">
        <f t="shared" si="2"/>
        <v>0.94666666666666655</v>
      </c>
    </row>
    <row r="13" spans="1:15" x14ac:dyDescent="0.3">
      <c r="A13" s="2" t="s">
        <v>21</v>
      </c>
      <c r="B13" s="3" t="s">
        <v>61</v>
      </c>
      <c r="C13">
        <v>28</v>
      </c>
      <c r="D13">
        <v>12</v>
      </c>
      <c r="E13">
        <v>0.8</v>
      </c>
      <c r="G13" t="s">
        <v>118</v>
      </c>
      <c r="H13">
        <v>570377</v>
      </c>
      <c r="I13">
        <v>28</v>
      </c>
      <c r="J13">
        <v>30</v>
      </c>
      <c r="K13">
        <v>18</v>
      </c>
      <c r="L13">
        <v>30</v>
      </c>
      <c r="M13">
        <f t="shared" si="0"/>
        <v>28</v>
      </c>
      <c r="N13">
        <f t="shared" si="1"/>
        <v>12</v>
      </c>
      <c r="O13">
        <f t="shared" si="2"/>
        <v>0.8</v>
      </c>
    </row>
    <row r="14" spans="1:15" x14ac:dyDescent="0.3">
      <c r="A14" s="2" t="s">
        <v>24</v>
      </c>
      <c r="B14" s="3" t="s">
        <v>64</v>
      </c>
      <c r="C14">
        <v>27</v>
      </c>
      <c r="D14">
        <v>16</v>
      </c>
      <c r="E14">
        <v>0.86</v>
      </c>
      <c r="G14" t="s">
        <v>64</v>
      </c>
      <c r="H14">
        <v>570380</v>
      </c>
      <c r="I14">
        <v>27</v>
      </c>
      <c r="J14">
        <v>30</v>
      </c>
      <c r="K14">
        <v>24</v>
      </c>
      <c r="L14">
        <v>30</v>
      </c>
      <c r="M14">
        <f t="shared" si="0"/>
        <v>27</v>
      </c>
      <c r="N14">
        <f t="shared" si="1"/>
        <v>16</v>
      </c>
      <c r="O14">
        <f t="shared" si="2"/>
        <v>0.86</v>
      </c>
    </row>
    <row r="15" spans="1:15" x14ac:dyDescent="0.3">
      <c r="A15" s="2" t="s">
        <v>10</v>
      </c>
      <c r="B15" s="3" t="s">
        <v>50</v>
      </c>
      <c r="C15">
        <v>29</v>
      </c>
      <c r="D15">
        <v>17.333333333333336</v>
      </c>
      <c r="E15">
        <v>0.92666666666666675</v>
      </c>
      <c r="G15" t="s">
        <v>50</v>
      </c>
      <c r="H15">
        <v>570381</v>
      </c>
      <c r="I15">
        <v>29</v>
      </c>
      <c r="J15">
        <v>30</v>
      </c>
      <c r="K15">
        <v>26</v>
      </c>
      <c r="L15">
        <v>30</v>
      </c>
      <c r="M15">
        <f t="shared" si="0"/>
        <v>29</v>
      </c>
      <c r="N15">
        <f t="shared" si="1"/>
        <v>17.333333333333336</v>
      </c>
      <c r="O15">
        <f t="shared" si="2"/>
        <v>0.92666666666666675</v>
      </c>
    </row>
    <row r="16" spans="1:15" x14ac:dyDescent="0.3">
      <c r="A16" s="2" t="s">
        <v>26</v>
      </c>
      <c r="B16" s="3" t="s">
        <v>66</v>
      </c>
      <c r="C16">
        <v>27</v>
      </c>
      <c r="D16">
        <v>16.666666666666668</v>
      </c>
      <c r="E16">
        <v>0.87333333333333341</v>
      </c>
      <c r="G16" t="s">
        <v>66</v>
      </c>
      <c r="H16">
        <v>570382</v>
      </c>
      <c r="I16">
        <v>27</v>
      </c>
      <c r="J16">
        <v>30</v>
      </c>
      <c r="K16">
        <v>25</v>
      </c>
      <c r="L16">
        <v>30</v>
      </c>
      <c r="M16">
        <f t="shared" si="0"/>
        <v>27</v>
      </c>
      <c r="N16">
        <f t="shared" si="1"/>
        <v>16.666666666666668</v>
      </c>
      <c r="O16">
        <f t="shared" si="2"/>
        <v>0.87333333333333341</v>
      </c>
    </row>
    <row r="17" spans="1:15" x14ac:dyDescent="0.3">
      <c r="A17" s="2" t="s">
        <v>28</v>
      </c>
      <c r="B17" s="3" t="s">
        <v>68</v>
      </c>
      <c r="C17">
        <v>26</v>
      </c>
      <c r="D17">
        <v>16</v>
      </c>
      <c r="E17">
        <v>0.84</v>
      </c>
      <c r="G17" s="3" t="s">
        <v>68</v>
      </c>
      <c r="H17" s="2" t="s">
        <v>28</v>
      </c>
      <c r="I17" t="s">
        <v>125</v>
      </c>
      <c r="J17" t="s">
        <v>125</v>
      </c>
      <c r="K17" t="s">
        <v>125</v>
      </c>
      <c r="L17" t="s">
        <v>125</v>
      </c>
      <c r="M17" t="s">
        <v>125</v>
      </c>
      <c r="N17" t="s">
        <v>125</v>
      </c>
      <c r="O17" t="s">
        <v>125</v>
      </c>
    </row>
    <row r="18" spans="1:15" x14ac:dyDescent="0.3">
      <c r="A18" s="2" t="s">
        <v>38</v>
      </c>
      <c r="B18" s="3" t="s">
        <v>78</v>
      </c>
      <c r="C18">
        <v>27</v>
      </c>
      <c r="D18">
        <v>20</v>
      </c>
      <c r="E18">
        <v>0.94</v>
      </c>
      <c r="G18" t="s">
        <v>78</v>
      </c>
      <c r="H18">
        <v>570391</v>
      </c>
      <c r="I18">
        <v>27</v>
      </c>
      <c r="J18">
        <v>30</v>
      </c>
      <c r="K18">
        <v>30</v>
      </c>
      <c r="L18">
        <v>30</v>
      </c>
      <c r="M18">
        <f t="shared" ref="M18:M42" si="3">I18</f>
        <v>27</v>
      </c>
      <c r="N18">
        <f t="shared" ref="N18:N42" si="4">K18/L18*20</f>
        <v>20</v>
      </c>
      <c r="O18">
        <f t="shared" ref="O18:O43" si="5">SUM(M18,N18)/50</f>
        <v>0.94</v>
      </c>
    </row>
    <row r="19" spans="1:15" x14ac:dyDescent="0.3">
      <c r="A19" s="2" t="s">
        <v>37</v>
      </c>
      <c r="B19" s="3" t="s">
        <v>77</v>
      </c>
      <c r="C19">
        <v>27</v>
      </c>
      <c r="D19">
        <v>17.333333333333336</v>
      </c>
      <c r="E19">
        <v>0.88666666666666671</v>
      </c>
      <c r="G19" t="s">
        <v>77</v>
      </c>
      <c r="H19">
        <v>570392</v>
      </c>
      <c r="I19">
        <v>27</v>
      </c>
      <c r="J19">
        <v>30</v>
      </c>
      <c r="K19">
        <v>26</v>
      </c>
      <c r="L19">
        <v>30</v>
      </c>
      <c r="M19">
        <f t="shared" si="3"/>
        <v>27</v>
      </c>
      <c r="N19">
        <f t="shared" si="4"/>
        <v>17.333333333333336</v>
      </c>
      <c r="O19">
        <f t="shared" si="5"/>
        <v>0.88666666666666671</v>
      </c>
    </row>
    <row r="20" spans="1:15" x14ac:dyDescent="0.3">
      <c r="A20" s="2" t="s">
        <v>9</v>
      </c>
      <c r="B20" s="3" t="s">
        <v>49</v>
      </c>
      <c r="C20">
        <v>28</v>
      </c>
      <c r="D20">
        <v>17.333333333333336</v>
      </c>
      <c r="E20">
        <v>0.90666666666666673</v>
      </c>
      <c r="G20" t="s">
        <v>49</v>
      </c>
      <c r="H20">
        <v>570418</v>
      </c>
      <c r="I20">
        <v>28</v>
      </c>
      <c r="J20">
        <v>30</v>
      </c>
      <c r="K20">
        <v>26</v>
      </c>
      <c r="L20">
        <v>30</v>
      </c>
      <c r="M20">
        <f t="shared" si="3"/>
        <v>28</v>
      </c>
      <c r="N20">
        <f t="shared" si="4"/>
        <v>17.333333333333336</v>
      </c>
      <c r="O20">
        <f t="shared" si="5"/>
        <v>0.90666666666666673</v>
      </c>
    </row>
    <row r="21" spans="1:15" x14ac:dyDescent="0.3">
      <c r="A21" s="2" t="s">
        <v>1</v>
      </c>
      <c r="B21" s="3" t="s">
        <v>41</v>
      </c>
      <c r="C21">
        <v>27</v>
      </c>
      <c r="D21">
        <v>17.333333333333336</v>
      </c>
      <c r="E21">
        <v>0.88666666666666671</v>
      </c>
      <c r="G21" t="s">
        <v>41</v>
      </c>
      <c r="H21">
        <v>570419</v>
      </c>
      <c r="I21">
        <v>27</v>
      </c>
      <c r="J21">
        <v>30</v>
      </c>
      <c r="K21">
        <v>26</v>
      </c>
      <c r="L21">
        <v>30</v>
      </c>
      <c r="M21">
        <f t="shared" si="3"/>
        <v>27</v>
      </c>
      <c r="N21">
        <f t="shared" si="4"/>
        <v>17.333333333333336</v>
      </c>
      <c r="O21">
        <f t="shared" si="5"/>
        <v>0.88666666666666671</v>
      </c>
    </row>
    <row r="22" spans="1:15" x14ac:dyDescent="0.3">
      <c r="A22" s="2" t="s">
        <v>2</v>
      </c>
      <c r="B22" s="3" t="s">
        <v>42</v>
      </c>
      <c r="C22">
        <v>26</v>
      </c>
      <c r="D22">
        <v>9.3333333333333339</v>
      </c>
      <c r="E22">
        <v>0.74666666666666659</v>
      </c>
      <c r="G22" t="s">
        <v>42</v>
      </c>
      <c r="H22">
        <v>570420</v>
      </c>
      <c r="I22">
        <v>26</v>
      </c>
      <c r="J22">
        <v>30</v>
      </c>
      <c r="K22">
        <v>17</v>
      </c>
      <c r="L22">
        <v>30</v>
      </c>
      <c r="M22">
        <f t="shared" si="3"/>
        <v>26</v>
      </c>
      <c r="N22">
        <f t="shared" si="4"/>
        <v>11.333333333333332</v>
      </c>
      <c r="O22">
        <f t="shared" si="5"/>
        <v>0.74666666666666659</v>
      </c>
    </row>
    <row r="23" spans="1:15" x14ac:dyDescent="0.3">
      <c r="A23" s="2" t="s">
        <v>36</v>
      </c>
      <c r="B23" s="3" t="s">
        <v>76</v>
      </c>
      <c r="C23">
        <v>28</v>
      </c>
      <c r="D23">
        <v>11.333333333333332</v>
      </c>
      <c r="E23">
        <v>0.78666666666666663</v>
      </c>
      <c r="G23" t="s">
        <v>76</v>
      </c>
      <c r="H23">
        <v>570421</v>
      </c>
      <c r="I23">
        <v>28</v>
      </c>
      <c r="J23">
        <v>30</v>
      </c>
      <c r="K23">
        <v>17</v>
      </c>
      <c r="L23">
        <v>30</v>
      </c>
      <c r="M23">
        <f t="shared" si="3"/>
        <v>28</v>
      </c>
      <c r="N23">
        <f t="shared" si="4"/>
        <v>11.333333333333332</v>
      </c>
      <c r="O23">
        <f t="shared" si="5"/>
        <v>0.78666666666666663</v>
      </c>
    </row>
    <row r="24" spans="1:15" x14ac:dyDescent="0.3">
      <c r="A24" s="2" t="s">
        <v>14</v>
      </c>
      <c r="B24" s="3" t="s">
        <v>54</v>
      </c>
      <c r="C24">
        <v>26</v>
      </c>
      <c r="D24">
        <v>16</v>
      </c>
      <c r="E24">
        <v>0.84</v>
      </c>
      <c r="G24" t="s">
        <v>54</v>
      </c>
      <c r="H24">
        <v>570423</v>
      </c>
      <c r="I24">
        <v>21</v>
      </c>
      <c r="J24">
        <v>30</v>
      </c>
      <c r="K24">
        <v>23</v>
      </c>
      <c r="L24">
        <v>30</v>
      </c>
      <c r="M24">
        <f t="shared" si="3"/>
        <v>21</v>
      </c>
      <c r="N24">
        <f t="shared" si="4"/>
        <v>15.333333333333334</v>
      </c>
      <c r="O24">
        <f t="shared" si="5"/>
        <v>0.72666666666666668</v>
      </c>
    </row>
    <row r="25" spans="1:15" x14ac:dyDescent="0.3">
      <c r="A25" s="2" t="s">
        <v>8</v>
      </c>
      <c r="B25" s="3" t="s">
        <v>48</v>
      </c>
      <c r="C25">
        <v>26</v>
      </c>
      <c r="D25">
        <v>18.666666666666668</v>
      </c>
      <c r="E25">
        <v>0.89333333333333342</v>
      </c>
      <c r="G25" t="s">
        <v>48</v>
      </c>
      <c r="H25">
        <v>570424</v>
      </c>
      <c r="I25">
        <v>26</v>
      </c>
      <c r="J25">
        <v>30</v>
      </c>
      <c r="K25">
        <v>28</v>
      </c>
      <c r="L25">
        <v>30</v>
      </c>
      <c r="M25">
        <f t="shared" si="3"/>
        <v>26</v>
      </c>
      <c r="N25">
        <f t="shared" si="4"/>
        <v>18.666666666666668</v>
      </c>
      <c r="O25">
        <f t="shared" si="5"/>
        <v>0.89333333333333342</v>
      </c>
    </row>
    <row r="26" spans="1:15" x14ac:dyDescent="0.3">
      <c r="A26" s="2" t="s">
        <v>4</v>
      </c>
      <c r="B26" s="3" t="s">
        <v>44</v>
      </c>
      <c r="C26">
        <v>29</v>
      </c>
      <c r="D26">
        <v>17.333333333333336</v>
      </c>
      <c r="E26">
        <v>0.92666666666666675</v>
      </c>
      <c r="G26" t="s">
        <v>44</v>
      </c>
      <c r="H26">
        <v>570425</v>
      </c>
      <c r="I26">
        <v>29</v>
      </c>
      <c r="J26">
        <v>30</v>
      </c>
      <c r="K26">
        <v>26</v>
      </c>
      <c r="L26">
        <v>30</v>
      </c>
      <c r="M26">
        <f t="shared" si="3"/>
        <v>29</v>
      </c>
      <c r="N26">
        <f t="shared" si="4"/>
        <v>17.333333333333336</v>
      </c>
      <c r="O26">
        <f t="shared" si="5"/>
        <v>0.92666666666666675</v>
      </c>
    </row>
    <row r="27" spans="1:15" x14ac:dyDescent="0.3">
      <c r="A27" s="2" t="s">
        <v>35</v>
      </c>
      <c r="B27" s="3" t="s">
        <v>75</v>
      </c>
      <c r="C27">
        <v>26</v>
      </c>
      <c r="D27">
        <v>17.333333333333336</v>
      </c>
      <c r="E27">
        <v>0.8666666666666667</v>
      </c>
      <c r="G27" t="s">
        <v>75</v>
      </c>
      <c r="H27">
        <v>570434</v>
      </c>
      <c r="I27">
        <v>26</v>
      </c>
      <c r="J27">
        <v>30</v>
      </c>
      <c r="K27">
        <v>26</v>
      </c>
      <c r="L27">
        <v>30</v>
      </c>
      <c r="M27">
        <f t="shared" si="3"/>
        <v>26</v>
      </c>
      <c r="N27">
        <f t="shared" si="4"/>
        <v>17.333333333333336</v>
      </c>
      <c r="O27">
        <f t="shared" si="5"/>
        <v>0.8666666666666667</v>
      </c>
    </row>
    <row r="28" spans="1:15" x14ac:dyDescent="0.3">
      <c r="A28" s="2" t="s">
        <v>34</v>
      </c>
      <c r="B28" s="3" t="s">
        <v>74</v>
      </c>
      <c r="C28">
        <v>28</v>
      </c>
      <c r="D28">
        <v>20</v>
      </c>
      <c r="E28">
        <v>0.96</v>
      </c>
      <c r="G28" t="s">
        <v>119</v>
      </c>
      <c r="H28">
        <v>570442</v>
      </c>
      <c r="I28">
        <v>28</v>
      </c>
      <c r="J28">
        <v>30</v>
      </c>
      <c r="K28">
        <v>30</v>
      </c>
      <c r="L28">
        <v>30</v>
      </c>
      <c r="M28">
        <f t="shared" si="3"/>
        <v>28</v>
      </c>
      <c r="N28">
        <f t="shared" si="4"/>
        <v>20</v>
      </c>
      <c r="O28">
        <f t="shared" si="5"/>
        <v>0.96</v>
      </c>
    </row>
    <row r="29" spans="1:15" x14ac:dyDescent="0.3">
      <c r="A29" s="2" t="s">
        <v>5</v>
      </c>
      <c r="B29" s="3" t="s">
        <v>45</v>
      </c>
      <c r="C29">
        <v>26</v>
      </c>
      <c r="D29">
        <v>17.333333333333336</v>
      </c>
      <c r="E29">
        <v>0.8666666666666667</v>
      </c>
      <c r="G29" t="s">
        <v>45</v>
      </c>
      <c r="H29">
        <v>570444</v>
      </c>
      <c r="I29">
        <v>26</v>
      </c>
      <c r="J29">
        <v>30</v>
      </c>
      <c r="K29">
        <v>26</v>
      </c>
      <c r="L29">
        <v>30</v>
      </c>
      <c r="M29">
        <f t="shared" si="3"/>
        <v>26</v>
      </c>
      <c r="N29">
        <f t="shared" si="4"/>
        <v>17.333333333333336</v>
      </c>
      <c r="O29">
        <f t="shared" si="5"/>
        <v>0.8666666666666667</v>
      </c>
    </row>
    <row r="30" spans="1:15" x14ac:dyDescent="0.3">
      <c r="A30" s="2" t="s">
        <v>15</v>
      </c>
      <c r="B30" s="3" t="s">
        <v>55</v>
      </c>
      <c r="C30">
        <v>27</v>
      </c>
      <c r="D30">
        <v>18.666666666666668</v>
      </c>
      <c r="E30">
        <v>0.91333333333333344</v>
      </c>
      <c r="G30" t="s">
        <v>121</v>
      </c>
      <c r="H30">
        <v>570468</v>
      </c>
      <c r="I30">
        <v>27</v>
      </c>
      <c r="J30">
        <v>30</v>
      </c>
      <c r="K30">
        <v>28</v>
      </c>
      <c r="L30">
        <v>30</v>
      </c>
      <c r="M30">
        <f t="shared" si="3"/>
        <v>27</v>
      </c>
      <c r="N30">
        <f t="shared" si="4"/>
        <v>18.666666666666668</v>
      </c>
      <c r="O30">
        <f t="shared" si="5"/>
        <v>0.91333333333333344</v>
      </c>
    </row>
    <row r="31" spans="1:15" x14ac:dyDescent="0.3">
      <c r="A31" s="2" t="s">
        <v>23</v>
      </c>
      <c r="B31" s="3" t="s">
        <v>63</v>
      </c>
      <c r="C31">
        <v>28</v>
      </c>
      <c r="D31">
        <v>18</v>
      </c>
      <c r="E31">
        <v>0.92</v>
      </c>
      <c r="G31" t="s">
        <v>63</v>
      </c>
      <c r="H31">
        <v>570469</v>
      </c>
      <c r="I31">
        <v>24</v>
      </c>
      <c r="J31">
        <v>30</v>
      </c>
      <c r="K31">
        <v>23</v>
      </c>
      <c r="L31">
        <v>30</v>
      </c>
      <c r="M31">
        <f t="shared" si="3"/>
        <v>24</v>
      </c>
      <c r="N31">
        <f t="shared" si="4"/>
        <v>15.333333333333334</v>
      </c>
      <c r="O31">
        <f t="shared" si="5"/>
        <v>0.78666666666666674</v>
      </c>
    </row>
    <row r="32" spans="1:15" x14ac:dyDescent="0.3">
      <c r="A32" s="2" t="s">
        <v>22</v>
      </c>
      <c r="B32" s="3" t="s">
        <v>62</v>
      </c>
      <c r="C32">
        <v>27</v>
      </c>
      <c r="D32">
        <v>14.666666666666666</v>
      </c>
      <c r="E32">
        <v>0.83333333333333326</v>
      </c>
      <c r="G32" t="s">
        <v>62</v>
      </c>
      <c r="H32">
        <v>570532</v>
      </c>
      <c r="I32">
        <v>27</v>
      </c>
      <c r="J32">
        <v>30</v>
      </c>
      <c r="K32">
        <v>22</v>
      </c>
      <c r="L32">
        <v>30</v>
      </c>
      <c r="M32">
        <f t="shared" si="3"/>
        <v>27</v>
      </c>
      <c r="N32">
        <f t="shared" si="4"/>
        <v>14.666666666666666</v>
      </c>
      <c r="O32">
        <f t="shared" si="5"/>
        <v>0.83333333333333326</v>
      </c>
    </row>
    <row r="33" spans="1:15" x14ac:dyDescent="0.3">
      <c r="A33" s="2" t="s">
        <v>13</v>
      </c>
      <c r="B33" s="3" t="s">
        <v>53</v>
      </c>
      <c r="C33">
        <v>28</v>
      </c>
      <c r="D33">
        <v>18.666666666666668</v>
      </c>
      <c r="E33">
        <v>0.93333333333333346</v>
      </c>
      <c r="G33" t="s">
        <v>53</v>
      </c>
      <c r="H33">
        <v>570534</v>
      </c>
      <c r="I33">
        <v>28</v>
      </c>
      <c r="J33">
        <v>30</v>
      </c>
      <c r="K33">
        <v>28</v>
      </c>
      <c r="L33">
        <v>30</v>
      </c>
      <c r="M33">
        <f t="shared" si="3"/>
        <v>28</v>
      </c>
      <c r="N33">
        <f t="shared" si="4"/>
        <v>18.666666666666668</v>
      </c>
      <c r="O33">
        <f t="shared" si="5"/>
        <v>0.93333333333333346</v>
      </c>
    </row>
    <row r="34" spans="1:15" x14ac:dyDescent="0.3">
      <c r="A34" s="2" t="s">
        <v>30</v>
      </c>
      <c r="B34" s="3" t="s">
        <v>70</v>
      </c>
      <c r="C34">
        <v>27</v>
      </c>
      <c r="D34">
        <v>18</v>
      </c>
      <c r="E34">
        <v>0.9</v>
      </c>
      <c r="G34" t="s">
        <v>70</v>
      </c>
      <c r="H34">
        <v>570535</v>
      </c>
      <c r="I34">
        <v>27</v>
      </c>
      <c r="J34">
        <v>30</v>
      </c>
      <c r="K34">
        <v>27</v>
      </c>
      <c r="L34">
        <v>30</v>
      </c>
      <c r="M34">
        <f t="shared" si="3"/>
        <v>27</v>
      </c>
      <c r="N34">
        <f t="shared" si="4"/>
        <v>18</v>
      </c>
      <c r="O34">
        <f t="shared" si="5"/>
        <v>0.9</v>
      </c>
    </row>
    <row r="35" spans="1:15" x14ac:dyDescent="0.3">
      <c r="A35" s="2" t="s">
        <v>18</v>
      </c>
      <c r="B35" s="3" t="s">
        <v>58</v>
      </c>
      <c r="C35">
        <v>27</v>
      </c>
      <c r="D35">
        <v>18</v>
      </c>
      <c r="E35">
        <v>0.9</v>
      </c>
      <c r="G35" t="s">
        <v>58</v>
      </c>
      <c r="H35">
        <v>570536</v>
      </c>
      <c r="I35">
        <v>27</v>
      </c>
      <c r="J35">
        <v>30</v>
      </c>
      <c r="K35">
        <v>27</v>
      </c>
      <c r="L35">
        <v>30</v>
      </c>
      <c r="M35">
        <f t="shared" si="3"/>
        <v>27</v>
      </c>
      <c r="N35">
        <f t="shared" si="4"/>
        <v>18</v>
      </c>
      <c r="O35">
        <f t="shared" si="5"/>
        <v>0.9</v>
      </c>
    </row>
    <row r="36" spans="1:15" x14ac:dyDescent="0.3">
      <c r="A36" s="2" t="s">
        <v>17</v>
      </c>
      <c r="B36" s="3" t="s">
        <v>57</v>
      </c>
      <c r="C36">
        <v>27</v>
      </c>
      <c r="D36">
        <v>15.333333333333334</v>
      </c>
      <c r="E36">
        <v>0.84666666666666668</v>
      </c>
      <c r="G36" t="s">
        <v>57</v>
      </c>
      <c r="H36">
        <v>570537</v>
      </c>
      <c r="I36">
        <v>27</v>
      </c>
      <c r="J36">
        <v>30</v>
      </c>
      <c r="K36">
        <v>23</v>
      </c>
      <c r="L36">
        <v>30</v>
      </c>
      <c r="M36">
        <f t="shared" si="3"/>
        <v>27</v>
      </c>
      <c r="N36">
        <f t="shared" si="4"/>
        <v>15.333333333333334</v>
      </c>
      <c r="O36">
        <f t="shared" si="5"/>
        <v>0.84666666666666668</v>
      </c>
    </row>
    <row r="37" spans="1:15" x14ac:dyDescent="0.3">
      <c r="A37" s="2" t="s">
        <v>3</v>
      </c>
      <c r="B37" s="3" t="s">
        <v>43</v>
      </c>
      <c r="C37">
        <v>29</v>
      </c>
      <c r="D37">
        <v>20</v>
      </c>
      <c r="E37">
        <v>0.98</v>
      </c>
      <c r="G37" t="s">
        <v>122</v>
      </c>
      <c r="H37">
        <v>570538</v>
      </c>
      <c r="I37">
        <v>29</v>
      </c>
      <c r="J37">
        <v>30</v>
      </c>
      <c r="K37">
        <v>30</v>
      </c>
      <c r="L37">
        <v>30</v>
      </c>
      <c r="M37">
        <f t="shared" si="3"/>
        <v>29</v>
      </c>
      <c r="N37">
        <f t="shared" si="4"/>
        <v>20</v>
      </c>
      <c r="O37">
        <f t="shared" si="5"/>
        <v>0.98</v>
      </c>
    </row>
    <row r="38" spans="1:15" x14ac:dyDescent="0.3">
      <c r="A38" s="2" t="s">
        <v>20</v>
      </c>
      <c r="B38" s="3" t="s">
        <v>60</v>
      </c>
      <c r="C38">
        <v>28</v>
      </c>
      <c r="D38">
        <v>17.333333333333336</v>
      </c>
      <c r="E38">
        <v>0.90666666666666673</v>
      </c>
      <c r="G38" t="s">
        <v>60</v>
      </c>
      <c r="H38">
        <v>570539</v>
      </c>
      <c r="I38">
        <v>29</v>
      </c>
      <c r="J38">
        <v>30</v>
      </c>
      <c r="K38">
        <v>10</v>
      </c>
      <c r="L38">
        <v>30</v>
      </c>
      <c r="M38">
        <f t="shared" si="3"/>
        <v>29</v>
      </c>
      <c r="N38">
        <f t="shared" si="4"/>
        <v>6.6666666666666661</v>
      </c>
      <c r="O38">
        <f t="shared" si="5"/>
        <v>0.71333333333333326</v>
      </c>
    </row>
    <row r="39" spans="1:15" x14ac:dyDescent="0.3">
      <c r="A39" s="2" t="s">
        <v>11</v>
      </c>
      <c r="B39" s="3" t="s">
        <v>51</v>
      </c>
      <c r="C39">
        <v>30</v>
      </c>
      <c r="D39">
        <v>15.333333333333334</v>
      </c>
      <c r="E39">
        <v>0.90666666666666673</v>
      </c>
      <c r="G39" t="s">
        <v>123</v>
      </c>
      <c r="H39">
        <v>570615</v>
      </c>
      <c r="I39">
        <v>30</v>
      </c>
      <c r="J39">
        <v>30</v>
      </c>
      <c r="K39">
        <v>23</v>
      </c>
      <c r="L39">
        <v>30</v>
      </c>
      <c r="M39">
        <f t="shared" si="3"/>
        <v>30</v>
      </c>
      <c r="N39">
        <f t="shared" si="4"/>
        <v>15.333333333333334</v>
      </c>
      <c r="O39">
        <f t="shared" si="5"/>
        <v>0.90666666666666673</v>
      </c>
    </row>
    <row r="40" spans="1:15" x14ac:dyDescent="0.3">
      <c r="A40" s="2" t="s">
        <v>29</v>
      </c>
      <c r="B40" s="3" t="s">
        <v>69</v>
      </c>
      <c r="C40">
        <v>26</v>
      </c>
      <c r="D40">
        <v>13.333333333333332</v>
      </c>
      <c r="E40">
        <v>0.78666666666666663</v>
      </c>
      <c r="G40" t="s">
        <v>124</v>
      </c>
      <c r="H40">
        <v>570768</v>
      </c>
      <c r="I40">
        <v>26</v>
      </c>
      <c r="J40">
        <v>30</v>
      </c>
      <c r="K40">
        <v>20</v>
      </c>
      <c r="L40">
        <v>30</v>
      </c>
      <c r="M40">
        <f t="shared" si="3"/>
        <v>26</v>
      </c>
      <c r="N40">
        <f t="shared" si="4"/>
        <v>13.333333333333332</v>
      </c>
      <c r="O40">
        <f t="shared" si="5"/>
        <v>0.78666666666666663</v>
      </c>
    </row>
    <row r="41" spans="1:15" x14ac:dyDescent="0.3">
      <c r="A41" s="2" t="s">
        <v>86</v>
      </c>
      <c r="B41" s="3" t="s">
        <v>88</v>
      </c>
      <c r="C41">
        <v>29</v>
      </c>
      <c r="D41">
        <v>17.333333333333336</v>
      </c>
      <c r="E41">
        <v>0.92666666666666675</v>
      </c>
      <c r="G41" t="s">
        <v>88</v>
      </c>
      <c r="H41">
        <v>570816</v>
      </c>
      <c r="I41">
        <v>29</v>
      </c>
      <c r="J41">
        <v>30</v>
      </c>
      <c r="K41">
        <v>26</v>
      </c>
      <c r="L41">
        <v>30</v>
      </c>
      <c r="M41">
        <f t="shared" si="3"/>
        <v>29</v>
      </c>
      <c r="N41">
        <f t="shared" si="4"/>
        <v>17.333333333333336</v>
      </c>
      <c r="O41">
        <f t="shared" si="5"/>
        <v>0.92666666666666675</v>
      </c>
    </row>
    <row r="42" spans="1:15" x14ac:dyDescent="0.3">
      <c r="A42" s="2" t="s">
        <v>87</v>
      </c>
      <c r="B42" s="3" t="s">
        <v>89</v>
      </c>
      <c r="C42">
        <v>29</v>
      </c>
      <c r="D42">
        <v>20</v>
      </c>
      <c r="E42">
        <v>0.98</v>
      </c>
      <c r="G42" t="s">
        <v>89</v>
      </c>
      <c r="H42">
        <v>570838</v>
      </c>
      <c r="I42">
        <v>29</v>
      </c>
      <c r="J42">
        <v>30</v>
      </c>
      <c r="K42">
        <v>30</v>
      </c>
      <c r="L42">
        <v>30</v>
      </c>
      <c r="M42">
        <f t="shared" si="3"/>
        <v>29</v>
      </c>
      <c r="N42">
        <f t="shared" si="4"/>
        <v>20</v>
      </c>
      <c r="O42">
        <f t="shared" si="5"/>
        <v>0.98</v>
      </c>
    </row>
    <row r="43" spans="1:15" x14ac:dyDescent="0.3">
      <c r="G43" t="s">
        <v>68</v>
      </c>
      <c r="H43">
        <v>570390</v>
      </c>
      <c r="I43">
        <v>26</v>
      </c>
      <c r="J43">
        <v>30</v>
      </c>
      <c r="K43">
        <v>24</v>
      </c>
      <c r="L43">
        <v>30</v>
      </c>
      <c r="M43">
        <f>I43</f>
        <v>26</v>
      </c>
      <c r="N43">
        <f>K43/L43*20</f>
        <v>16</v>
      </c>
      <c r="O43">
        <f t="shared" si="5"/>
        <v>0.84</v>
      </c>
    </row>
    <row r="44" spans="1:15" x14ac:dyDescent="0.3">
      <c r="G44" t="s">
        <v>60</v>
      </c>
      <c r="H44">
        <v>570539</v>
      </c>
      <c r="I44">
        <v>28</v>
      </c>
      <c r="J44">
        <v>30</v>
      </c>
      <c r="K44">
        <v>26</v>
      </c>
      <c r="L44">
        <v>30</v>
      </c>
      <c r="M44">
        <f t="shared" ref="M44:M47" si="6">I44</f>
        <v>28</v>
      </c>
      <c r="N44">
        <f>K44/L44*20</f>
        <v>17.333333333333336</v>
      </c>
      <c r="O44">
        <f>SUM(M44:N44)/50</f>
        <v>0.90666666666666673</v>
      </c>
    </row>
    <row r="45" spans="1:15" x14ac:dyDescent="0.3">
      <c r="G45" t="s">
        <v>63</v>
      </c>
      <c r="H45">
        <v>570469</v>
      </c>
      <c r="I45">
        <v>28</v>
      </c>
      <c r="J45">
        <v>30</v>
      </c>
      <c r="K45">
        <v>27</v>
      </c>
      <c r="L45">
        <v>30</v>
      </c>
      <c r="M45">
        <f t="shared" si="6"/>
        <v>28</v>
      </c>
      <c r="N45">
        <f t="shared" ref="N45:N47" si="7">K45/L45*20</f>
        <v>18</v>
      </c>
      <c r="O45">
        <f t="shared" ref="O45:O47" si="8">SUM(M45:N45)/50</f>
        <v>0.92</v>
      </c>
    </row>
    <row r="46" spans="1:15" x14ac:dyDescent="0.3">
      <c r="G46" t="s">
        <v>94</v>
      </c>
      <c r="H46">
        <v>570363</v>
      </c>
      <c r="I46">
        <v>28</v>
      </c>
      <c r="J46">
        <v>30</v>
      </c>
      <c r="K46">
        <v>24</v>
      </c>
      <c r="L46">
        <v>30</v>
      </c>
      <c r="M46">
        <f t="shared" si="6"/>
        <v>28</v>
      </c>
      <c r="N46">
        <f t="shared" si="7"/>
        <v>16</v>
      </c>
      <c r="O46">
        <f t="shared" si="8"/>
        <v>0.88</v>
      </c>
    </row>
    <row r="47" spans="1:15" x14ac:dyDescent="0.3">
      <c r="G47" t="s">
        <v>54</v>
      </c>
      <c r="H47">
        <v>570423</v>
      </c>
      <c r="I47">
        <v>26</v>
      </c>
      <c r="J47">
        <v>30</v>
      </c>
      <c r="K47">
        <v>24</v>
      </c>
      <c r="L47">
        <v>30</v>
      </c>
      <c r="M47">
        <f t="shared" si="6"/>
        <v>26</v>
      </c>
      <c r="N47">
        <f t="shared" si="7"/>
        <v>16</v>
      </c>
      <c r="O47">
        <f t="shared" si="8"/>
        <v>0.84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36225-F617-49CE-8371-EE91BB64450B}">
  <dimension ref="A1:I42"/>
  <sheetViews>
    <sheetView workbookViewId="0"/>
  </sheetViews>
  <sheetFormatPr defaultRowHeight="14.4" x14ac:dyDescent="0.3"/>
  <cols>
    <col min="1" max="1" width="22.33203125" bestFit="1" customWidth="1"/>
    <col min="2" max="2" width="12.109375" bestFit="1" customWidth="1"/>
    <col min="3" max="3" width="15.44140625" bestFit="1" customWidth="1"/>
    <col min="4" max="4" width="10.109375" bestFit="1" customWidth="1"/>
    <col min="5" max="5" width="14.21875" bestFit="1" customWidth="1"/>
    <col min="6" max="6" width="11.5546875" bestFit="1" customWidth="1"/>
    <col min="7" max="7" width="15.6640625" bestFit="1" customWidth="1"/>
    <col min="8" max="8" width="9.6640625" bestFit="1" customWidth="1"/>
    <col min="9" max="9" width="5.88671875" bestFit="1" customWidth="1"/>
  </cols>
  <sheetData>
    <row r="1" spans="1:9" x14ac:dyDescent="0.3">
      <c r="A1" t="s">
        <v>104</v>
      </c>
      <c r="B1" t="s">
        <v>105</v>
      </c>
      <c r="C1" t="s">
        <v>106</v>
      </c>
      <c r="D1" t="s">
        <v>107</v>
      </c>
      <c r="E1" t="s">
        <v>108</v>
      </c>
      <c r="F1" t="s">
        <v>109</v>
      </c>
      <c r="G1" t="s">
        <v>110</v>
      </c>
      <c r="H1" t="s">
        <v>111</v>
      </c>
      <c r="I1" t="s">
        <v>137</v>
      </c>
    </row>
    <row r="2" spans="1:9" x14ac:dyDescent="0.3">
      <c r="A2" t="s">
        <v>79</v>
      </c>
      <c r="B2" s="14" t="s">
        <v>39</v>
      </c>
      <c r="C2" s="12">
        <v>45923.469247685185</v>
      </c>
      <c r="D2">
        <v>50</v>
      </c>
      <c r="E2">
        <v>50</v>
      </c>
      <c r="F2">
        <v>0</v>
      </c>
      <c r="G2">
        <v>0</v>
      </c>
      <c r="H2" t="s">
        <v>120</v>
      </c>
      <c r="I2">
        <f t="shared" ref="I2:I42" si="0">D2/E2</f>
        <v>1</v>
      </c>
    </row>
    <row r="3" spans="1:9" x14ac:dyDescent="0.3">
      <c r="A3" t="s">
        <v>95</v>
      </c>
      <c r="B3" s="14" t="s">
        <v>134</v>
      </c>
      <c r="C3" s="12">
        <v>45923.473287037035</v>
      </c>
      <c r="D3">
        <v>48</v>
      </c>
      <c r="E3">
        <v>50</v>
      </c>
      <c r="F3">
        <v>0</v>
      </c>
      <c r="G3">
        <v>0</v>
      </c>
      <c r="H3" t="s">
        <v>120</v>
      </c>
      <c r="I3">
        <f t="shared" si="0"/>
        <v>0.96</v>
      </c>
    </row>
    <row r="4" spans="1:9" x14ac:dyDescent="0.3">
      <c r="A4" t="s">
        <v>90</v>
      </c>
      <c r="B4">
        <v>570362</v>
      </c>
      <c r="C4" s="12">
        <v>45923.469618055555</v>
      </c>
      <c r="D4">
        <v>48</v>
      </c>
      <c r="E4">
        <v>50</v>
      </c>
      <c r="F4">
        <v>0</v>
      </c>
      <c r="G4">
        <v>0</v>
      </c>
      <c r="H4" t="s">
        <v>120</v>
      </c>
      <c r="I4">
        <f t="shared" si="0"/>
        <v>0.96</v>
      </c>
    </row>
    <row r="5" spans="1:9" x14ac:dyDescent="0.3">
      <c r="A5" t="s">
        <v>94</v>
      </c>
      <c r="B5">
        <v>570363</v>
      </c>
      <c r="C5" s="12">
        <v>45923.47079861111</v>
      </c>
      <c r="D5">
        <v>48</v>
      </c>
      <c r="E5">
        <v>50</v>
      </c>
      <c r="F5">
        <v>0</v>
      </c>
      <c r="G5">
        <v>0</v>
      </c>
      <c r="H5" t="s">
        <v>120</v>
      </c>
      <c r="I5">
        <f t="shared" si="0"/>
        <v>0.96</v>
      </c>
    </row>
    <row r="6" spans="1:9" x14ac:dyDescent="0.3">
      <c r="A6" t="s">
        <v>73</v>
      </c>
      <c r="B6">
        <v>570365</v>
      </c>
      <c r="C6" s="12">
        <v>45923.474768518521</v>
      </c>
      <c r="D6">
        <v>47</v>
      </c>
      <c r="E6">
        <v>50</v>
      </c>
      <c r="F6">
        <v>0</v>
      </c>
      <c r="G6">
        <v>0</v>
      </c>
      <c r="H6" t="s">
        <v>120</v>
      </c>
      <c r="I6">
        <f t="shared" si="0"/>
        <v>0.94</v>
      </c>
    </row>
    <row r="7" spans="1:9" x14ac:dyDescent="0.3">
      <c r="A7" t="s">
        <v>52</v>
      </c>
      <c r="B7">
        <v>570367</v>
      </c>
      <c r="C7" s="12">
        <v>45923.470185185186</v>
      </c>
      <c r="D7">
        <v>49</v>
      </c>
      <c r="E7">
        <v>50</v>
      </c>
      <c r="F7">
        <v>0</v>
      </c>
      <c r="G7">
        <v>0</v>
      </c>
      <c r="H7" t="s">
        <v>120</v>
      </c>
      <c r="I7">
        <f t="shared" si="0"/>
        <v>0.98</v>
      </c>
    </row>
    <row r="8" spans="1:9" x14ac:dyDescent="0.3">
      <c r="A8" t="s">
        <v>91</v>
      </c>
      <c r="B8">
        <v>570371</v>
      </c>
      <c r="C8" s="12">
        <v>45923.465798611112</v>
      </c>
      <c r="D8">
        <v>49</v>
      </c>
      <c r="E8">
        <v>50</v>
      </c>
      <c r="F8">
        <v>0</v>
      </c>
      <c r="G8">
        <v>0</v>
      </c>
      <c r="H8" t="s">
        <v>120</v>
      </c>
      <c r="I8">
        <f t="shared" si="0"/>
        <v>0.98</v>
      </c>
    </row>
    <row r="9" spans="1:9" x14ac:dyDescent="0.3">
      <c r="A9" t="s">
        <v>59</v>
      </c>
      <c r="B9">
        <v>570372</v>
      </c>
      <c r="C9" s="12">
        <v>45923.47042824074</v>
      </c>
      <c r="D9">
        <v>48</v>
      </c>
      <c r="E9">
        <v>50</v>
      </c>
      <c r="F9">
        <v>0</v>
      </c>
      <c r="G9">
        <v>0</v>
      </c>
      <c r="H9" t="s">
        <v>120</v>
      </c>
      <c r="I9">
        <f t="shared" si="0"/>
        <v>0.96</v>
      </c>
    </row>
    <row r="10" spans="1:9" x14ac:dyDescent="0.3">
      <c r="A10" t="s">
        <v>47</v>
      </c>
      <c r="B10">
        <v>570373</v>
      </c>
      <c r="C10" s="12">
        <v>45923.463692129626</v>
      </c>
      <c r="D10">
        <v>47</v>
      </c>
      <c r="E10">
        <v>50</v>
      </c>
      <c r="F10">
        <v>0</v>
      </c>
      <c r="G10">
        <v>0</v>
      </c>
      <c r="H10" t="s">
        <v>120</v>
      </c>
      <c r="I10">
        <f t="shared" si="0"/>
        <v>0.94</v>
      </c>
    </row>
    <row r="11" spans="1:9" x14ac:dyDescent="0.3">
      <c r="A11" t="s">
        <v>46</v>
      </c>
      <c r="B11">
        <v>570375</v>
      </c>
      <c r="C11" s="12">
        <v>45923.471759259257</v>
      </c>
      <c r="D11">
        <v>50</v>
      </c>
      <c r="E11">
        <v>50</v>
      </c>
      <c r="F11">
        <v>0</v>
      </c>
      <c r="G11">
        <v>0</v>
      </c>
      <c r="H11" t="s">
        <v>120</v>
      </c>
      <c r="I11">
        <f t="shared" si="0"/>
        <v>1</v>
      </c>
    </row>
    <row r="12" spans="1:9" x14ac:dyDescent="0.3">
      <c r="A12" t="s">
        <v>65</v>
      </c>
      <c r="B12">
        <v>570376</v>
      </c>
      <c r="C12" s="12">
        <v>45923.470613425925</v>
      </c>
      <c r="D12">
        <v>48</v>
      </c>
      <c r="E12">
        <v>50</v>
      </c>
      <c r="F12">
        <v>0</v>
      </c>
      <c r="G12">
        <v>0</v>
      </c>
      <c r="H12" t="s">
        <v>120</v>
      </c>
      <c r="I12">
        <f t="shared" si="0"/>
        <v>0.96</v>
      </c>
    </row>
    <row r="13" spans="1:9" x14ac:dyDescent="0.3">
      <c r="A13" t="s">
        <v>118</v>
      </c>
      <c r="B13">
        <v>570377</v>
      </c>
      <c r="C13" s="12">
        <v>45923.471967592595</v>
      </c>
      <c r="D13">
        <v>48</v>
      </c>
      <c r="E13">
        <v>50</v>
      </c>
      <c r="F13">
        <v>0</v>
      </c>
      <c r="G13">
        <v>0</v>
      </c>
      <c r="H13" t="s">
        <v>120</v>
      </c>
      <c r="I13">
        <f t="shared" si="0"/>
        <v>0.96</v>
      </c>
    </row>
    <row r="14" spans="1:9" x14ac:dyDescent="0.3">
      <c r="A14" t="s">
        <v>138</v>
      </c>
      <c r="B14">
        <v>570380</v>
      </c>
      <c r="C14" s="12">
        <v>45923.465798611112</v>
      </c>
      <c r="D14">
        <v>47</v>
      </c>
      <c r="E14">
        <v>50</v>
      </c>
      <c r="F14">
        <v>0</v>
      </c>
      <c r="G14">
        <v>0</v>
      </c>
      <c r="H14" t="s">
        <v>120</v>
      </c>
      <c r="I14">
        <f t="shared" si="0"/>
        <v>0.94</v>
      </c>
    </row>
    <row r="15" spans="1:9" x14ac:dyDescent="0.3">
      <c r="A15" t="s">
        <v>50</v>
      </c>
      <c r="B15">
        <v>570381</v>
      </c>
      <c r="C15" s="12">
        <v>45923.466099537036</v>
      </c>
      <c r="D15">
        <v>49</v>
      </c>
      <c r="E15">
        <v>50</v>
      </c>
      <c r="F15">
        <v>0</v>
      </c>
      <c r="G15">
        <v>0</v>
      </c>
      <c r="H15" t="s">
        <v>120</v>
      </c>
      <c r="I15">
        <f t="shared" si="0"/>
        <v>0.98</v>
      </c>
    </row>
    <row r="16" spans="1:9" x14ac:dyDescent="0.3">
      <c r="A16" t="s">
        <v>66</v>
      </c>
      <c r="B16">
        <v>570382</v>
      </c>
      <c r="C16" s="12">
        <v>45923.463090277779</v>
      </c>
      <c r="D16">
        <v>47</v>
      </c>
      <c r="E16">
        <v>50</v>
      </c>
      <c r="F16">
        <v>0</v>
      </c>
      <c r="G16">
        <v>0</v>
      </c>
      <c r="H16" t="s">
        <v>120</v>
      </c>
      <c r="I16">
        <f t="shared" si="0"/>
        <v>0.94</v>
      </c>
    </row>
    <row r="17" spans="1:9" x14ac:dyDescent="0.3">
      <c r="A17" t="s">
        <v>68</v>
      </c>
      <c r="B17">
        <v>570390</v>
      </c>
      <c r="C17" s="12">
        <v>45923.466099537036</v>
      </c>
      <c r="D17">
        <v>49</v>
      </c>
      <c r="E17">
        <v>50</v>
      </c>
      <c r="F17">
        <v>0</v>
      </c>
      <c r="G17">
        <v>0</v>
      </c>
      <c r="H17" t="s">
        <v>120</v>
      </c>
      <c r="I17">
        <f t="shared" si="0"/>
        <v>0.98</v>
      </c>
    </row>
    <row r="18" spans="1:9" x14ac:dyDescent="0.3">
      <c r="A18" t="s">
        <v>78</v>
      </c>
      <c r="B18">
        <v>570391</v>
      </c>
      <c r="C18" s="12">
        <v>45923.475289351853</v>
      </c>
      <c r="D18">
        <v>48</v>
      </c>
      <c r="E18">
        <v>50</v>
      </c>
      <c r="F18">
        <v>0</v>
      </c>
      <c r="G18">
        <v>0</v>
      </c>
      <c r="H18" t="s">
        <v>120</v>
      </c>
      <c r="I18">
        <f t="shared" si="0"/>
        <v>0.96</v>
      </c>
    </row>
    <row r="19" spans="1:9" x14ac:dyDescent="0.3">
      <c r="A19" t="s">
        <v>77</v>
      </c>
      <c r="B19">
        <v>570392</v>
      </c>
      <c r="C19" s="12">
        <v>45923.475891203707</v>
      </c>
      <c r="D19">
        <v>49</v>
      </c>
      <c r="E19">
        <v>50</v>
      </c>
      <c r="F19">
        <v>0</v>
      </c>
      <c r="G19">
        <v>0</v>
      </c>
      <c r="H19" t="s">
        <v>120</v>
      </c>
      <c r="I19">
        <f t="shared" si="0"/>
        <v>0.98</v>
      </c>
    </row>
    <row r="20" spans="1:9" x14ac:dyDescent="0.3">
      <c r="A20" t="s">
        <v>49</v>
      </c>
      <c r="B20">
        <v>570418</v>
      </c>
      <c r="C20" s="12">
        <v>45923.470219907409</v>
      </c>
      <c r="D20">
        <v>48</v>
      </c>
      <c r="E20">
        <v>50</v>
      </c>
      <c r="F20">
        <v>0</v>
      </c>
      <c r="G20">
        <v>0</v>
      </c>
      <c r="H20" t="s">
        <v>120</v>
      </c>
      <c r="I20">
        <f t="shared" si="0"/>
        <v>0.96</v>
      </c>
    </row>
    <row r="21" spans="1:9" x14ac:dyDescent="0.3">
      <c r="A21" t="s">
        <v>41</v>
      </c>
      <c r="B21">
        <v>570419</v>
      </c>
      <c r="C21" s="12">
        <v>45923.467777777776</v>
      </c>
      <c r="D21">
        <v>46</v>
      </c>
      <c r="E21">
        <v>50</v>
      </c>
      <c r="F21">
        <v>0</v>
      </c>
      <c r="G21">
        <v>0</v>
      </c>
      <c r="H21" t="s">
        <v>120</v>
      </c>
      <c r="I21">
        <f t="shared" si="0"/>
        <v>0.92</v>
      </c>
    </row>
    <row r="22" spans="1:9" x14ac:dyDescent="0.3">
      <c r="A22" t="s">
        <v>42</v>
      </c>
      <c r="B22">
        <v>570420</v>
      </c>
      <c r="C22" s="12">
        <v>45923.469872685186</v>
      </c>
      <c r="D22">
        <v>47</v>
      </c>
      <c r="E22">
        <v>50</v>
      </c>
      <c r="F22">
        <v>0</v>
      </c>
      <c r="G22">
        <v>0</v>
      </c>
      <c r="H22" t="s">
        <v>120</v>
      </c>
      <c r="I22">
        <f t="shared" si="0"/>
        <v>0.94</v>
      </c>
    </row>
    <row r="23" spans="1:9" x14ac:dyDescent="0.3">
      <c r="A23" t="s">
        <v>76</v>
      </c>
      <c r="B23">
        <v>570421</v>
      </c>
      <c r="C23" s="12">
        <v>45923.471388888887</v>
      </c>
      <c r="D23">
        <v>49</v>
      </c>
      <c r="E23">
        <v>50</v>
      </c>
      <c r="F23">
        <v>0</v>
      </c>
      <c r="G23">
        <v>0</v>
      </c>
      <c r="H23" t="s">
        <v>120</v>
      </c>
      <c r="I23">
        <f t="shared" si="0"/>
        <v>0.98</v>
      </c>
    </row>
    <row r="24" spans="1:9" x14ac:dyDescent="0.3">
      <c r="A24" t="s">
        <v>54</v>
      </c>
      <c r="B24">
        <v>570423</v>
      </c>
      <c r="C24" s="12">
        <v>45923.474976851852</v>
      </c>
      <c r="D24">
        <v>48</v>
      </c>
      <c r="E24">
        <v>50</v>
      </c>
      <c r="F24">
        <v>0</v>
      </c>
      <c r="G24">
        <v>0</v>
      </c>
      <c r="H24" t="s">
        <v>120</v>
      </c>
      <c r="I24">
        <f t="shared" si="0"/>
        <v>0.96</v>
      </c>
    </row>
    <row r="25" spans="1:9" x14ac:dyDescent="0.3">
      <c r="A25" t="s">
        <v>48</v>
      </c>
      <c r="B25">
        <v>570424</v>
      </c>
      <c r="C25" s="12">
        <v>45923.470451388886</v>
      </c>
      <c r="D25">
        <v>49</v>
      </c>
      <c r="E25">
        <v>50</v>
      </c>
      <c r="F25">
        <v>0</v>
      </c>
      <c r="G25">
        <v>0</v>
      </c>
      <c r="H25" t="s">
        <v>120</v>
      </c>
      <c r="I25">
        <f t="shared" si="0"/>
        <v>0.98</v>
      </c>
    </row>
    <row r="26" spans="1:9" x14ac:dyDescent="0.3">
      <c r="A26" t="s">
        <v>44</v>
      </c>
      <c r="B26">
        <v>570425</v>
      </c>
      <c r="C26" s="12">
        <v>45923.467314814814</v>
      </c>
      <c r="D26">
        <v>50</v>
      </c>
      <c r="E26">
        <v>50</v>
      </c>
      <c r="F26">
        <v>0</v>
      </c>
      <c r="G26">
        <v>0</v>
      </c>
      <c r="H26" t="s">
        <v>120</v>
      </c>
      <c r="I26">
        <f t="shared" si="0"/>
        <v>1</v>
      </c>
    </row>
    <row r="27" spans="1:9" x14ac:dyDescent="0.3">
      <c r="A27" t="s">
        <v>75</v>
      </c>
      <c r="B27">
        <v>570434</v>
      </c>
      <c r="C27" s="12">
        <v>45923.473981481482</v>
      </c>
      <c r="D27">
        <v>49</v>
      </c>
      <c r="E27">
        <v>50</v>
      </c>
      <c r="F27">
        <v>0</v>
      </c>
      <c r="G27">
        <v>0</v>
      </c>
      <c r="H27" t="s">
        <v>120</v>
      </c>
      <c r="I27">
        <f t="shared" si="0"/>
        <v>0.98</v>
      </c>
    </row>
    <row r="28" spans="1:9" x14ac:dyDescent="0.3">
      <c r="A28" t="s">
        <v>139</v>
      </c>
      <c r="B28">
        <v>570442</v>
      </c>
      <c r="C28" s="12">
        <v>45923.475104166668</v>
      </c>
      <c r="D28">
        <v>45</v>
      </c>
      <c r="E28">
        <v>50</v>
      </c>
      <c r="F28">
        <v>0</v>
      </c>
      <c r="G28">
        <v>0</v>
      </c>
      <c r="H28" t="s">
        <v>120</v>
      </c>
      <c r="I28">
        <f t="shared" si="0"/>
        <v>0.9</v>
      </c>
    </row>
    <row r="29" spans="1:9" x14ac:dyDescent="0.3">
      <c r="A29" t="s">
        <v>45</v>
      </c>
      <c r="B29">
        <v>570444</v>
      </c>
      <c r="C29" s="12">
        <v>45923.465752314813</v>
      </c>
      <c r="D29">
        <v>48</v>
      </c>
      <c r="E29">
        <v>50</v>
      </c>
      <c r="F29">
        <v>0</v>
      </c>
      <c r="G29">
        <v>0</v>
      </c>
      <c r="H29" t="s">
        <v>120</v>
      </c>
      <c r="I29">
        <f t="shared" si="0"/>
        <v>0.96</v>
      </c>
    </row>
    <row r="30" spans="1:9" x14ac:dyDescent="0.3">
      <c r="A30" t="s">
        <v>121</v>
      </c>
      <c r="B30">
        <v>570468</v>
      </c>
      <c r="C30" s="12">
        <v>45923.473333333335</v>
      </c>
      <c r="D30">
        <v>48</v>
      </c>
      <c r="E30">
        <v>50</v>
      </c>
      <c r="F30">
        <v>0</v>
      </c>
      <c r="G30">
        <v>0</v>
      </c>
      <c r="H30" t="s">
        <v>120</v>
      </c>
      <c r="I30">
        <f t="shared" si="0"/>
        <v>0.96</v>
      </c>
    </row>
    <row r="31" spans="1:9" x14ac:dyDescent="0.3">
      <c r="A31" t="s">
        <v>63</v>
      </c>
      <c r="B31">
        <v>570469</v>
      </c>
      <c r="C31" s="12">
        <v>45923.471087962964</v>
      </c>
      <c r="D31">
        <v>47</v>
      </c>
      <c r="E31">
        <v>50</v>
      </c>
      <c r="F31">
        <v>0</v>
      </c>
      <c r="G31">
        <v>0</v>
      </c>
      <c r="H31" t="s">
        <v>120</v>
      </c>
      <c r="I31">
        <f t="shared" si="0"/>
        <v>0.94</v>
      </c>
    </row>
    <row r="32" spans="1:9" x14ac:dyDescent="0.3">
      <c r="A32" t="s">
        <v>62</v>
      </c>
      <c r="B32">
        <v>570532</v>
      </c>
      <c r="C32" s="12">
        <v>45923.472222222219</v>
      </c>
      <c r="D32">
        <v>49</v>
      </c>
      <c r="E32">
        <v>50</v>
      </c>
      <c r="F32">
        <v>0</v>
      </c>
      <c r="G32">
        <v>0</v>
      </c>
      <c r="H32" t="s">
        <v>120</v>
      </c>
      <c r="I32">
        <f t="shared" si="0"/>
        <v>0.98</v>
      </c>
    </row>
    <row r="33" spans="1:9" x14ac:dyDescent="0.3">
      <c r="A33" t="s">
        <v>53</v>
      </c>
      <c r="B33">
        <v>570534</v>
      </c>
      <c r="C33" s="12">
        <v>45923.46806712963</v>
      </c>
      <c r="D33">
        <v>48</v>
      </c>
      <c r="E33">
        <v>50</v>
      </c>
      <c r="F33">
        <v>0</v>
      </c>
      <c r="G33">
        <v>0</v>
      </c>
      <c r="H33" t="s">
        <v>120</v>
      </c>
      <c r="I33">
        <f t="shared" si="0"/>
        <v>0.96</v>
      </c>
    </row>
    <row r="34" spans="1:9" x14ac:dyDescent="0.3">
      <c r="A34" t="s">
        <v>70</v>
      </c>
      <c r="B34">
        <v>570535</v>
      </c>
      <c r="C34" s="12">
        <v>45923.466145833336</v>
      </c>
      <c r="D34">
        <v>49</v>
      </c>
      <c r="E34">
        <v>50</v>
      </c>
      <c r="F34">
        <v>0</v>
      </c>
      <c r="G34">
        <v>0</v>
      </c>
      <c r="H34" t="s">
        <v>120</v>
      </c>
      <c r="I34">
        <f t="shared" si="0"/>
        <v>0.98</v>
      </c>
    </row>
    <row r="35" spans="1:9" x14ac:dyDescent="0.3">
      <c r="A35" t="s">
        <v>58</v>
      </c>
      <c r="B35">
        <v>570536</v>
      </c>
      <c r="C35" s="12">
        <v>45923.470729166664</v>
      </c>
      <c r="D35">
        <v>48</v>
      </c>
      <c r="E35">
        <v>50</v>
      </c>
      <c r="F35">
        <v>0</v>
      </c>
      <c r="G35">
        <v>0</v>
      </c>
      <c r="H35" t="s">
        <v>120</v>
      </c>
      <c r="I35">
        <f t="shared" si="0"/>
        <v>0.96</v>
      </c>
    </row>
    <row r="36" spans="1:9" x14ac:dyDescent="0.3">
      <c r="A36" t="s">
        <v>57</v>
      </c>
      <c r="B36">
        <v>570537</v>
      </c>
      <c r="C36" s="12">
        <v>45923.468460648146</v>
      </c>
      <c r="D36">
        <v>46</v>
      </c>
      <c r="E36">
        <v>50</v>
      </c>
      <c r="F36">
        <v>0</v>
      </c>
      <c r="G36">
        <v>0</v>
      </c>
      <c r="H36" t="s">
        <v>120</v>
      </c>
      <c r="I36">
        <f t="shared" si="0"/>
        <v>0.92</v>
      </c>
    </row>
    <row r="37" spans="1:9" x14ac:dyDescent="0.3">
      <c r="A37" t="s">
        <v>122</v>
      </c>
      <c r="B37">
        <v>570538</v>
      </c>
      <c r="C37" s="12">
        <v>45923.465624999997</v>
      </c>
      <c r="D37">
        <v>50</v>
      </c>
      <c r="E37">
        <v>50</v>
      </c>
      <c r="F37">
        <v>0</v>
      </c>
      <c r="G37">
        <v>0</v>
      </c>
      <c r="H37" t="s">
        <v>120</v>
      </c>
      <c r="I37">
        <f t="shared" si="0"/>
        <v>1</v>
      </c>
    </row>
    <row r="38" spans="1:9" x14ac:dyDescent="0.3">
      <c r="A38" t="s">
        <v>60</v>
      </c>
      <c r="B38">
        <v>570539</v>
      </c>
      <c r="C38" s="12">
        <v>45923.470879629633</v>
      </c>
      <c r="D38">
        <v>48</v>
      </c>
      <c r="E38">
        <v>50</v>
      </c>
      <c r="F38">
        <v>0</v>
      </c>
      <c r="G38">
        <v>0</v>
      </c>
      <c r="H38" t="s">
        <v>120</v>
      </c>
      <c r="I38">
        <f t="shared" si="0"/>
        <v>0.96</v>
      </c>
    </row>
    <row r="39" spans="1:9" x14ac:dyDescent="0.3">
      <c r="A39" t="s">
        <v>123</v>
      </c>
      <c r="B39">
        <v>570615</v>
      </c>
      <c r="C39" s="12">
        <v>45923.467893518522</v>
      </c>
      <c r="D39">
        <v>48</v>
      </c>
      <c r="E39">
        <v>50</v>
      </c>
      <c r="F39">
        <v>0</v>
      </c>
      <c r="G39">
        <v>0</v>
      </c>
      <c r="H39" t="s">
        <v>120</v>
      </c>
      <c r="I39">
        <f t="shared" si="0"/>
        <v>0.96</v>
      </c>
    </row>
    <row r="40" spans="1:9" x14ac:dyDescent="0.3">
      <c r="A40" t="s">
        <v>124</v>
      </c>
      <c r="B40">
        <v>570768</v>
      </c>
      <c r="C40" s="12">
        <v>45923.470219907409</v>
      </c>
      <c r="D40">
        <v>46</v>
      </c>
      <c r="E40">
        <v>50</v>
      </c>
      <c r="F40">
        <v>0</v>
      </c>
      <c r="G40">
        <v>0</v>
      </c>
      <c r="H40" t="s">
        <v>120</v>
      </c>
      <c r="I40">
        <f t="shared" si="0"/>
        <v>0.92</v>
      </c>
    </row>
    <row r="41" spans="1:9" x14ac:dyDescent="0.3">
      <c r="A41" t="s">
        <v>88</v>
      </c>
      <c r="B41">
        <v>570816</v>
      </c>
      <c r="C41" s="12">
        <v>45923.46675925926</v>
      </c>
      <c r="D41">
        <v>49</v>
      </c>
      <c r="E41">
        <v>50</v>
      </c>
      <c r="F41">
        <v>0</v>
      </c>
      <c r="G41">
        <v>0</v>
      </c>
      <c r="H41" t="s">
        <v>120</v>
      </c>
      <c r="I41">
        <f t="shared" si="0"/>
        <v>0.98</v>
      </c>
    </row>
    <row r="42" spans="1:9" x14ac:dyDescent="0.3">
      <c r="A42" t="s">
        <v>89</v>
      </c>
      <c r="B42">
        <v>570838</v>
      </c>
      <c r="C42" s="12">
        <v>45923.471898148149</v>
      </c>
      <c r="D42">
        <v>49</v>
      </c>
      <c r="E42">
        <v>50</v>
      </c>
      <c r="F42">
        <v>0</v>
      </c>
      <c r="G42">
        <v>0</v>
      </c>
      <c r="H42" t="s">
        <v>120</v>
      </c>
      <c r="I42">
        <f t="shared" si="0"/>
        <v>0.98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SQL</vt:lpstr>
      <vt:lpstr>PLSQL</vt:lpstr>
      <vt:lpstr>Java</vt:lpstr>
      <vt:lpstr>Spring</vt:lpstr>
      <vt:lpstr>HTML_CSS_Js</vt:lpstr>
      <vt:lpstr>ReactJs</vt:lpstr>
      <vt:lpstr>FinalTest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2025-08-04T08:42:14Z</dcterms:created>
  <dcterms:modified xsi:type="dcterms:W3CDTF">2025-09-23T06:08:39Z</dcterms:modified>
</cp:coreProperties>
</file>